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449245a95dcf7bf1/Documents/Documents/OBAC TRAINING CENTER/APPLI MOBILE SCHOOL VENTURE/"/>
    </mc:Choice>
  </mc:AlternateContent>
  <xr:revisionPtr revIDLastSave="421" documentId="8_{553DB092-4BC6-44A9-8D8D-276428B83AFD}" xr6:coauthVersionLast="47" xr6:coauthVersionMax="47" xr10:uidLastSave="{96B53D71-CBB1-438E-AEE7-D2287BFF12EA}"/>
  <bookViews>
    <workbookView xWindow="-108" yWindow="-108" windowWidth="23256" windowHeight="12456" firstSheet="16" activeTab="19" xr2:uid="{00000000-000D-0000-FFFF-FFFF00000000}"/>
  </bookViews>
  <sheets>
    <sheet name="Prix des produits et services " sheetId="2" r:id="rId1"/>
    <sheet name="Calcul intermédiaire " sheetId="20" r:id="rId2"/>
    <sheet name="Objectifs de ventes (quantité)" sheetId="4" r:id="rId3"/>
    <sheet name="Chiffre d'affaires prévisionnel" sheetId="1" r:id="rId4"/>
    <sheet name="Impots et taxes" sheetId="15" r:id="rId5"/>
    <sheet name="Calcul intermédiaires Charges V" sheetId="18" r:id="rId6"/>
    <sheet name="Charges variables" sheetId="3" r:id="rId7"/>
    <sheet name="Calcul intermédiaires CF" sheetId="19" r:id="rId8"/>
    <sheet name="Charges fixes" sheetId="5" r:id="rId9"/>
    <sheet name="Calcul intermédiaires Investiss" sheetId="21" r:id="rId10"/>
    <sheet name="Liste des investissements" sheetId="6" r:id="rId11"/>
    <sheet name="tableau des amortissements" sheetId="7" r:id="rId12"/>
    <sheet name="Fonds de roulement" sheetId="8" r:id="rId13"/>
    <sheet name="Cout et schema de financement" sheetId="9" r:id="rId14"/>
    <sheet name="Calculs financiers" sheetId="10" r:id="rId15"/>
    <sheet name="Compte d'exploitation prév" sheetId="11" r:id="rId16"/>
    <sheet name="Bilan prévisionnel" sheetId="12" r:id="rId17"/>
    <sheet name="Seuil rentabilité &amp; point Mort" sheetId="13" r:id="rId18"/>
    <sheet name="Tableau des flux de trésorerie" sheetId="14" r:id="rId19"/>
    <sheet name="Ratios" sheetId="16" r:id="rId2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0" i="10" l="1"/>
  <c r="J10" i="9"/>
  <c r="I7" i="9"/>
  <c r="C15" i="9"/>
  <c r="B17" i="5"/>
  <c r="B2" i="4"/>
  <c r="C4" i="1"/>
  <c r="B18" i="16"/>
  <c r="BQ157" i="19"/>
  <c r="BD157" i="19"/>
  <c r="AQ157" i="19"/>
  <c r="AD157" i="19"/>
  <c r="E157" i="19"/>
  <c r="Q157" i="19" s="1"/>
  <c r="BQ156" i="19"/>
  <c r="BD156" i="19"/>
  <c r="AQ156" i="19"/>
  <c r="AD156" i="19"/>
  <c r="E156" i="19"/>
  <c r="Q156" i="19" s="1"/>
  <c r="BQ155" i="19"/>
  <c r="BD155" i="19"/>
  <c r="AQ155" i="19"/>
  <c r="AD155" i="19"/>
  <c r="E155" i="19"/>
  <c r="Q155" i="19" s="1"/>
  <c r="BQ154" i="19"/>
  <c r="BD154" i="19"/>
  <c r="AQ154" i="19"/>
  <c r="AD154" i="19"/>
  <c r="E154" i="19"/>
  <c r="Q154" i="19" s="1"/>
  <c r="BQ153" i="19"/>
  <c r="BD153" i="19"/>
  <c r="AQ153" i="19"/>
  <c r="AD153" i="19"/>
  <c r="E153" i="19"/>
  <c r="Q153" i="19" s="1"/>
  <c r="BQ152" i="19"/>
  <c r="BD152" i="19"/>
  <c r="AQ152" i="19"/>
  <c r="AD152" i="19"/>
  <c r="E152" i="19"/>
  <c r="Q152" i="19" s="1"/>
  <c r="BQ151" i="19"/>
  <c r="BD151" i="19"/>
  <c r="AQ151" i="19"/>
  <c r="AD151" i="19"/>
  <c r="E151" i="19"/>
  <c r="Q151" i="19" s="1"/>
  <c r="BQ150" i="19"/>
  <c r="BD150" i="19"/>
  <c r="AQ150" i="19"/>
  <c r="AD150" i="19"/>
  <c r="E150" i="19"/>
  <c r="Q150" i="19" s="1"/>
  <c r="BQ149" i="19"/>
  <c r="BD149" i="19"/>
  <c r="AQ149" i="19"/>
  <c r="AD149" i="19"/>
  <c r="E149" i="19"/>
  <c r="Q149" i="19" s="1"/>
  <c r="BQ148" i="19"/>
  <c r="BD148" i="19"/>
  <c r="AQ148" i="19"/>
  <c r="AD148" i="19"/>
  <c r="E148" i="19"/>
  <c r="Q148" i="19" s="1"/>
  <c r="BQ147" i="19"/>
  <c r="BD147" i="19"/>
  <c r="AQ147" i="19"/>
  <c r="AD147" i="19"/>
  <c r="E147" i="19"/>
  <c r="Q147" i="19" s="1"/>
  <c r="BQ146" i="19"/>
  <c r="BD146" i="19"/>
  <c r="AQ146" i="19"/>
  <c r="AD146" i="19"/>
  <c r="E146" i="19"/>
  <c r="Q146" i="19" s="1"/>
  <c r="BQ145" i="19"/>
  <c r="BD145" i="19"/>
  <c r="AQ145" i="19"/>
  <c r="AD145" i="19"/>
  <c r="E145" i="19"/>
  <c r="Q145" i="19" s="1"/>
  <c r="BQ144" i="19"/>
  <c r="BD144" i="19"/>
  <c r="AQ144" i="19"/>
  <c r="AD144" i="19"/>
  <c r="E144" i="19"/>
  <c r="Q144" i="19" s="1"/>
  <c r="BQ143" i="19"/>
  <c r="BD143" i="19"/>
  <c r="AQ143" i="19"/>
  <c r="AD143" i="19"/>
  <c r="E143" i="19"/>
  <c r="Q143" i="19" s="1"/>
  <c r="BQ142" i="19"/>
  <c r="BD142" i="19"/>
  <c r="AQ142" i="19"/>
  <c r="AD142" i="19"/>
  <c r="E142" i="19"/>
  <c r="Q142" i="19" s="1"/>
  <c r="BQ141" i="19"/>
  <c r="BD141" i="19"/>
  <c r="AQ141" i="19"/>
  <c r="AD141" i="19"/>
  <c r="E141" i="19"/>
  <c r="Q141" i="19" s="1"/>
  <c r="BQ140" i="19"/>
  <c r="BD140" i="19"/>
  <c r="AQ140" i="19"/>
  <c r="AD140" i="19"/>
  <c r="E140" i="19"/>
  <c r="Q140" i="19" s="1"/>
  <c r="BQ139" i="19"/>
  <c r="BD139" i="19"/>
  <c r="AQ139" i="19"/>
  <c r="AD139" i="19"/>
  <c r="E139" i="19"/>
  <c r="Q139" i="19" s="1"/>
  <c r="BQ138" i="19"/>
  <c r="BD138" i="19"/>
  <c r="AQ138" i="19"/>
  <c r="AD138" i="19"/>
  <c r="E138" i="19"/>
  <c r="Q138" i="19" s="1"/>
  <c r="BQ137" i="19"/>
  <c r="BD137" i="19"/>
  <c r="AQ137" i="19"/>
  <c r="AD137" i="19"/>
  <c r="E137" i="19"/>
  <c r="Q137" i="19" s="1"/>
  <c r="BQ136" i="19"/>
  <c r="BD136" i="19"/>
  <c r="AQ136" i="19"/>
  <c r="AD136" i="19"/>
  <c r="E136" i="19"/>
  <c r="Q136" i="19" s="1"/>
  <c r="BQ135" i="19"/>
  <c r="BD135" i="19"/>
  <c r="AQ135" i="19"/>
  <c r="AD135" i="19"/>
  <c r="E135" i="19"/>
  <c r="Q135" i="19" s="1"/>
  <c r="BQ134" i="19"/>
  <c r="BD134" i="19"/>
  <c r="AQ134" i="19"/>
  <c r="AD134" i="19"/>
  <c r="E134" i="19"/>
  <c r="Q134" i="19" s="1"/>
  <c r="BQ133" i="19"/>
  <c r="BD133" i="19"/>
  <c r="AQ133" i="19"/>
  <c r="AD133" i="19"/>
  <c r="E133" i="19"/>
  <c r="Q133" i="19" s="1"/>
  <c r="BQ132" i="19"/>
  <c r="BD132" i="19"/>
  <c r="AQ132" i="19"/>
  <c r="AD132" i="19"/>
  <c r="E132" i="19"/>
  <c r="Q132" i="19" s="1"/>
  <c r="BQ131" i="19"/>
  <c r="BD131" i="19"/>
  <c r="AQ131" i="19"/>
  <c r="AD131" i="19"/>
  <c r="E131" i="19"/>
  <c r="Q131" i="19" s="1"/>
  <c r="BQ130" i="19"/>
  <c r="BD130" i="19"/>
  <c r="AQ130" i="19"/>
  <c r="AD130" i="19"/>
  <c r="E130" i="19"/>
  <c r="Q130" i="19" s="1"/>
  <c r="BQ129" i="19"/>
  <c r="BD129" i="19"/>
  <c r="AQ129" i="19"/>
  <c r="AD129" i="19"/>
  <c r="E129" i="19"/>
  <c r="Q129" i="19" s="1"/>
  <c r="BQ128" i="19"/>
  <c r="BD128" i="19"/>
  <c r="AQ128" i="19"/>
  <c r="AD128" i="19"/>
  <c r="E128" i="19"/>
  <c r="Q128" i="19" s="1"/>
  <c r="BQ127" i="19"/>
  <c r="BD127" i="19"/>
  <c r="AQ127" i="19"/>
  <c r="AD127" i="19"/>
  <c r="E127" i="19"/>
  <c r="Q127" i="19" s="1"/>
  <c r="BQ126" i="19"/>
  <c r="BD126" i="19"/>
  <c r="AQ126" i="19"/>
  <c r="AD126" i="19"/>
  <c r="E126" i="19"/>
  <c r="Q126" i="19" s="1"/>
  <c r="BQ125" i="19"/>
  <c r="BD125" i="19"/>
  <c r="AQ125" i="19"/>
  <c r="AD125" i="19"/>
  <c r="E125" i="19"/>
  <c r="Q125" i="19" s="1"/>
  <c r="BQ124" i="19"/>
  <c r="BD124" i="19"/>
  <c r="AQ124" i="19"/>
  <c r="AD124" i="19"/>
  <c r="E124" i="19"/>
  <c r="Q124" i="19" s="1"/>
  <c r="BQ123" i="19"/>
  <c r="BD123" i="19"/>
  <c r="AQ123" i="19"/>
  <c r="AD123" i="19"/>
  <c r="E123" i="19"/>
  <c r="Q123" i="19" s="1"/>
  <c r="BQ122" i="19"/>
  <c r="BD122" i="19"/>
  <c r="AQ122" i="19"/>
  <c r="AD122" i="19"/>
  <c r="E122" i="19"/>
  <c r="Q122" i="19" s="1"/>
  <c r="BQ121" i="19"/>
  <c r="BD121" i="19"/>
  <c r="AQ121" i="19"/>
  <c r="AD121" i="19"/>
  <c r="E121" i="19"/>
  <c r="Q121" i="19" s="1"/>
  <c r="BQ120" i="19"/>
  <c r="BD120" i="19"/>
  <c r="AQ120" i="19"/>
  <c r="AD120" i="19"/>
  <c r="E120" i="19"/>
  <c r="Q120" i="19" s="1"/>
  <c r="BQ119" i="19"/>
  <c r="BD119" i="19"/>
  <c r="AQ119" i="19"/>
  <c r="AD119" i="19"/>
  <c r="E119" i="19"/>
  <c r="Q119" i="19" s="1"/>
  <c r="BQ118" i="19"/>
  <c r="BD118" i="19"/>
  <c r="AQ118" i="19"/>
  <c r="AD118" i="19"/>
  <c r="E118" i="19"/>
  <c r="Q118" i="19" s="1"/>
  <c r="BQ117" i="19"/>
  <c r="BD117" i="19"/>
  <c r="AQ117" i="19"/>
  <c r="AD117" i="19"/>
  <c r="E117" i="19"/>
  <c r="Q117" i="19" s="1"/>
  <c r="BQ116" i="19"/>
  <c r="BD116" i="19"/>
  <c r="AQ116" i="19"/>
  <c r="AD116" i="19"/>
  <c r="E116" i="19"/>
  <c r="Q116" i="19" s="1"/>
  <c r="BQ115" i="19"/>
  <c r="BD115" i="19"/>
  <c r="AQ115" i="19"/>
  <c r="AD115" i="19"/>
  <c r="E115" i="19"/>
  <c r="Q115" i="19" s="1"/>
  <c r="BQ114" i="19"/>
  <c r="BD114" i="19"/>
  <c r="AQ114" i="19"/>
  <c r="AD114" i="19"/>
  <c r="E114" i="19"/>
  <c r="Q114" i="19" s="1"/>
  <c r="BQ113" i="19"/>
  <c r="BD113" i="19"/>
  <c r="AQ113" i="19"/>
  <c r="AD113" i="19"/>
  <c r="E113" i="19"/>
  <c r="Q113" i="19" s="1"/>
  <c r="BQ112" i="19"/>
  <c r="BD112" i="19"/>
  <c r="AQ112" i="19"/>
  <c r="AD112" i="19"/>
  <c r="E112" i="19"/>
  <c r="Q112" i="19" s="1"/>
  <c r="BQ111" i="19"/>
  <c r="BD111" i="19"/>
  <c r="AQ111" i="19"/>
  <c r="AD111" i="19"/>
  <c r="E111" i="19"/>
  <c r="Q111" i="19" s="1"/>
  <c r="BQ110" i="19"/>
  <c r="BD110" i="19"/>
  <c r="AQ110" i="19"/>
  <c r="AD110" i="19"/>
  <c r="E110" i="19"/>
  <c r="Q110" i="19" s="1"/>
  <c r="BQ109" i="19"/>
  <c r="BD109" i="19"/>
  <c r="AQ109" i="19"/>
  <c r="AD109" i="19"/>
  <c r="E109" i="19"/>
  <c r="Q109" i="19" s="1"/>
  <c r="BQ108" i="19"/>
  <c r="BD108" i="19"/>
  <c r="AQ108" i="19"/>
  <c r="AD108" i="19"/>
  <c r="E108" i="19"/>
  <c r="Q108" i="19" s="1"/>
  <c r="BQ107" i="19"/>
  <c r="BD107" i="19"/>
  <c r="AQ107" i="19"/>
  <c r="AD107" i="19"/>
  <c r="E107" i="19"/>
  <c r="Q107" i="19" s="1"/>
  <c r="BQ106" i="19"/>
  <c r="BD106" i="19"/>
  <c r="AQ106" i="19"/>
  <c r="AD106" i="19"/>
  <c r="E106" i="19"/>
  <c r="Q106" i="19" s="1"/>
  <c r="BQ105" i="19"/>
  <c r="BD105" i="19"/>
  <c r="AQ105" i="19"/>
  <c r="AD105" i="19"/>
  <c r="E105" i="19"/>
  <c r="Q105" i="19" s="1"/>
  <c r="BQ104" i="19"/>
  <c r="BD104" i="19"/>
  <c r="AQ104" i="19"/>
  <c r="AD104" i="19"/>
  <c r="E104" i="19"/>
  <c r="Q104" i="19" s="1"/>
  <c r="BQ103" i="19"/>
  <c r="BD103" i="19"/>
  <c r="AQ103" i="19"/>
  <c r="AD103" i="19"/>
  <c r="E103" i="19"/>
  <c r="Q103" i="19" s="1"/>
  <c r="BQ102" i="19"/>
  <c r="BD102" i="19"/>
  <c r="AQ102" i="19"/>
  <c r="AD102" i="19"/>
  <c r="E102" i="19"/>
  <c r="Q102" i="19" s="1"/>
  <c r="BQ101" i="19"/>
  <c r="BD101" i="19"/>
  <c r="AQ101" i="19"/>
  <c r="AD101" i="19"/>
  <c r="E101" i="19"/>
  <c r="Q101" i="19" s="1"/>
  <c r="BQ100" i="19"/>
  <c r="BD100" i="19"/>
  <c r="AQ100" i="19"/>
  <c r="AD100" i="19"/>
  <c r="E100" i="19"/>
  <c r="Q100" i="19" s="1"/>
  <c r="BQ99" i="19"/>
  <c r="BD99" i="19"/>
  <c r="AQ99" i="19"/>
  <c r="AD99" i="19"/>
  <c r="E99" i="19"/>
  <c r="Q99" i="19" s="1"/>
  <c r="BQ98" i="19"/>
  <c r="BD98" i="19"/>
  <c r="AQ98" i="19"/>
  <c r="AD98" i="19"/>
  <c r="E98" i="19"/>
  <c r="Q98" i="19" s="1"/>
  <c r="BQ97" i="19"/>
  <c r="BD97" i="19"/>
  <c r="AQ97" i="19"/>
  <c r="AD97" i="19"/>
  <c r="E97" i="19"/>
  <c r="Q97" i="19" s="1"/>
  <c r="BQ96" i="19"/>
  <c r="BD96" i="19"/>
  <c r="AQ96" i="19"/>
  <c r="AD96" i="19"/>
  <c r="E96" i="19"/>
  <c r="Q96" i="19" s="1"/>
  <c r="BQ95" i="19"/>
  <c r="BD95" i="19"/>
  <c r="AQ95" i="19"/>
  <c r="AD95" i="19"/>
  <c r="E95" i="19"/>
  <c r="Q95" i="19" s="1"/>
  <c r="BQ94" i="19"/>
  <c r="BD94" i="19"/>
  <c r="AQ94" i="19"/>
  <c r="AD94" i="19"/>
  <c r="E94" i="19"/>
  <c r="Q94" i="19" s="1"/>
  <c r="BQ93" i="19"/>
  <c r="BD93" i="19"/>
  <c r="AQ93" i="19"/>
  <c r="AD93" i="19"/>
  <c r="E93" i="19"/>
  <c r="Q93" i="19" s="1"/>
  <c r="BQ92" i="19"/>
  <c r="BD92" i="19"/>
  <c r="AQ92" i="19"/>
  <c r="AD92" i="19"/>
  <c r="E92" i="19"/>
  <c r="Q92" i="19" s="1"/>
  <c r="BQ91" i="19"/>
  <c r="BD91" i="19"/>
  <c r="AQ91" i="19"/>
  <c r="AD91" i="19"/>
  <c r="E91" i="19"/>
  <c r="Q91" i="19" s="1"/>
  <c r="BQ90" i="19"/>
  <c r="BD90" i="19"/>
  <c r="AQ90" i="19"/>
  <c r="AD90" i="19"/>
  <c r="E90" i="19"/>
  <c r="Q90" i="19" s="1"/>
  <c r="BQ89" i="19"/>
  <c r="BD89" i="19"/>
  <c r="AQ89" i="19"/>
  <c r="AD89" i="19"/>
  <c r="E89" i="19"/>
  <c r="Q89" i="19" s="1"/>
  <c r="BQ88" i="19"/>
  <c r="BD88" i="19"/>
  <c r="AQ88" i="19"/>
  <c r="AD88" i="19"/>
  <c r="E88" i="19"/>
  <c r="Q88" i="19" s="1"/>
  <c r="BQ87" i="19"/>
  <c r="BD87" i="19"/>
  <c r="AQ87" i="19"/>
  <c r="AD87" i="19"/>
  <c r="E87" i="19"/>
  <c r="Q87" i="19" s="1"/>
  <c r="BQ86" i="19"/>
  <c r="BD86" i="19"/>
  <c r="AQ86" i="19"/>
  <c r="AD86" i="19"/>
  <c r="E86" i="19"/>
  <c r="Q86" i="19" s="1"/>
  <c r="BQ85" i="19"/>
  <c r="BD85" i="19"/>
  <c r="AQ85" i="19"/>
  <c r="AD85" i="19"/>
  <c r="E85" i="19"/>
  <c r="Q85" i="19" s="1"/>
  <c r="BQ84" i="19"/>
  <c r="BD84" i="19"/>
  <c r="AQ84" i="19"/>
  <c r="AD84" i="19"/>
  <c r="E84" i="19"/>
  <c r="Q84" i="19" s="1"/>
  <c r="BQ83" i="19"/>
  <c r="BD83" i="19"/>
  <c r="AQ83" i="19"/>
  <c r="AD83" i="19"/>
  <c r="E83" i="19"/>
  <c r="Q83" i="19" s="1"/>
  <c r="BQ82" i="19"/>
  <c r="BD82" i="19"/>
  <c r="AQ82" i="19"/>
  <c r="AD82" i="19"/>
  <c r="E82" i="19"/>
  <c r="Q82" i="19" s="1"/>
  <c r="BQ81" i="19"/>
  <c r="BD81" i="19"/>
  <c r="AQ81" i="19"/>
  <c r="AD81" i="19"/>
  <c r="E81" i="19"/>
  <c r="Q81" i="19" s="1"/>
  <c r="BQ80" i="19"/>
  <c r="BD80" i="19"/>
  <c r="AQ80" i="19"/>
  <c r="AD80" i="19"/>
  <c r="E80" i="19"/>
  <c r="Q80" i="19" s="1"/>
  <c r="BQ79" i="19"/>
  <c r="BD79" i="19"/>
  <c r="AQ79" i="19"/>
  <c r="AD79" i="19"/>
  <c r="E79" i="19"/>
  <c r="Q79" i="19" s="1"/>
  <c r="BQ78" i="19"/>
  <c r="BD78" i="19"/>
  <c r="AQ78" i="19"/>
  <c r="AD78" i="19"/>
  <c r="E78" i="19"/>
  <c r="Q78" i="19" s="1"/>
  <c r="BQ77" i="19"/>
  <c r="BD77" i="19"/>
  <c r="AQ77" i="19"/>
  <c r="AD77" i="19"/>
  <c r="E77" i="19"/>
  <c r="Q77" i="19" s="1"/>
  <c r="BQ76" i="19"/>
  <c r="BD76" i="19"/>
  <c r="AQ76" i="19"/>
  <c r="AD76" i="19"/>
  <c r="E76" i="19"/>
  <c r="Q76" i="19" s="1"/>
  <c r="BQ75" i="19"/>
  <c r="BD75" i="19"/>
  <c r="AQ75" i="19"/>
  <c r="AD75" i="19"/>
  <c r="E75" i="19"/>
  <c r="Q75" i="19" s="1"/>
  <c r="BQ74" i="19"/>
  <c r="BD74" i="19"/>
  <c r="AQ74" i="19"/>
  <c r="AD74" i="19"/>
  <c r="E74" i="19"/>
  <c r="Q74" i="19" s="1"/>
  <c r="BQ73" i="19"/>
  <c r="BD73" i="19"/>
  <c r="AQ73" i="19"/>
  <c r="AD73" i="19"/>
  <c r="E73" i="19"/>
  <c r="Q73" i="19" s="1"/>
  <c r="BQ72" i="19"/>
  <c r="BD72" i="19"/>
  <c r="AQ72" i="19"/>
  <c r="AD72" i="19"/>
  <c r="E72" i="19"/>
  <c r="Q72" i="19" s="1"/>
  <c r="BQ71" i="19"/>
  <c r="BD71" i="19"/>
  <c r="AQ71" i="19"/>
  <c r="AD71" i="19"/>
  <c r="E71" i="19"/>
  <c r="Q71" i="19" s="1"/>
  <c r="BQ70" i="19"/>
  <c r="BD70" i="19"/>
  <c r="AQ70" i="19"/>
  <c r="AD70" i="19"/>
  <c r="E70" i="19"/>
  <c r="Q70" i="19" s="1"/>
  <c r="BQ69" i="19"/>
  <c r="BD69" i="19"/>
  <c r="AQ69" i="19"/>
  <c r="AD69" i="19"/>
  <c r="E69" i="19"/>
  <c r="Q69" i="19" s="1"/>
  <c r="BQ68" i="19"/>
  <c r="BD68" i="19"/>
  <c r="AQ68" i="19"/>
  <c r="AD68" i="19"/>
  <c r="E68" i="19"/>
  <c r="Q68" i="19" s="1"/>
  <c r="BQ67" i="19"/>
  <c r="BD67" i="19"/>
  <c r="AQ67" i="19"/>
  <c r="AD67" i="19"/>
  <c r="E67" i="19"/>
  <c r="Q67" i="19" s="1"/>
  <c r="BQ66" i="19"/>
  <c r="BD66" i="19"/>
  <c r="AQ66" i="19"/>
  <c r="AD66" i="19"/>
  <c r="E66" i="19"/>
  <c r="Q66" i="19" s="1"/>
  <c r="BQ65" i="19"/>
  <c r="BD65" i="19"/>
  <c r="AQ65" i="19"/>
  <c r="AD65" i="19"/>
  <c r="E65" i="19"/>
  <c r="Q65" i="19" s="1"/>
  <c r="BQ64" i="19"/>
  <c r="BD64" i="19"/>
  <c r="AQ64" i="19"/>
  <c r="AD64" i="19"/>
  <c r="Q64" i="19"/>
  <c r="BQ63" i="19"/>
  <c r="BD63" i="19"/>
  <c r="AQ63" i="19"/>
  <c r="AD63" i="19"/>
  <c r="Q63" i="19"/>
  <c r="BQ62" i="19"/>
  <c r="BD62" i="19"/>
  <c r="AQ62" i="19"/>
  <c r="AD62" i="19"/>
  <c r="Q62" i="19"/>
  <c r="BQ61" i="19"/>
  <c r="BD61" i="19"/>
  <c r="AQ61" i="19"/>
  <c r="AD61" i="19"/>
  <c r="Q61" i="19"/>
  <c r="BQ60" i="19"/>
  <c r="BD60" i="19"/>
  <c r="AQ60" i="19"/>
  <c r="AD60" i="19"/>
  <c r="Q60" i="19"/>
  <c r="BQ59" i="19"/>
  <c r="BD59" i="19"/>
  <c r="AQ59" i="19"/>
  <c r="AD59" i="19"/>
  <c r="Q59" i="19"/>
  <c r="BQ58" i="19"/>
  <c r="BD58" i="19"/>
  <c r="AQ58" i="19"/>
  <c r="AD58" i="19"/>
  <c r="Q58" i="19"/>
  <c r="BQ57" i="19"/>
  <c r="BD57" i="19"/>
  <c r="AQ57" i="19"/>
  <c r="AD57" i="19"/>
  <c r="Q57" i="19"/>
  <c r="BQ56" i="19"/>
  <c r="BD56" i="19"/>
  <c r="AQ56" i="19"/>
  <c r="AD56" i="19"/>
  <c r="Q56" i="19"/>
  <c r="BQ55" i="19"/>
  <c r="BD55" i="19"/>
  <c r="AQ55" i="19"/>
  <c r="AD55" i="19"/>
  <c r="Q55" i="19"/>
  <c r="BQ54" i="19"/>
  <c r="BD54" i="19"/>
  <c r="AQ54" i="19"/>
  <c r="AD54" i="19"/>
  <c r="Q54" i="19"/>
  <c r="BQ53" i="19"/>
  <c r="BD53" i="19"/>
  <c r="AQ53" i="19"/>
  <c r="AD53" i="19"/>
  <c r="Q53" i="19"/>
  <c r="BQ52" i="19"/>
  <c r="BD52" i="19"/>
  <c r="AQ52" i="19"/>
  <c r="AD52" i="19"/>
  <c r="Q52" i="19"/>
  <c r="BQ51" i="19"/>
  <c r="BD51" i="19"/>
  <c r="AQ51" i="19"/>
  <c r="AD51" i="19"/>
  <c r="Q51" i="19"/>
  <c r="BQ50" i="19"/>
  <c r="BD50" i="19"/>
  <c r="AQ50" i="19"/>
  <c r="AD50" i="19"/>
  <c r="Q50" i="19"/>
  <c r="BQ49" i="19"/>
  <c r="BD49" i="19"/>
  <c r="AQ49" i="19"/>
  <c r="AD49" i="19"/>
  <c r="Q49" i="19"/>
  <c r="BQ48" i="19"/>
  <c r="BD48" i="19"/>
  <c r="AQ48" i="19"/>
  <c r="AD48" i="19"/>
  <c r="Q48" i="19"/>
  <c r="BQ47" i="19"/>
  <c r="BD47" i="19"/>
  <c r="AQ47" i="19"/>
  <c r="AD47" i="19"/>
  <c r="Q47" i="19"/>
  <c r="BQ46" i="19"/>
  <c r="BD46" i="19"/>
  <c r="AQ46" i="19"/>
  <c r="AD46" i="19"/>
  <c r="Q46" i="19"/>
  <c r="BQ45" i="19"/>
  <c r="BD45" i="19"/>
  <c r="AQ45" i="19"/>
  <c r="AD45" i="19"/>
  <c r="Q45" i="19"/>
  <c r="BQ44" i="19"/>
  <c r="BD44" i="19"/>
  <c r="AQ44" i="19"/>
  <c r="AD44" i="19"/>
  <c r="Q44" i="19"/>
  <c r="BQ43" i="19"/>
  <c r="BD43" i="19"/>
  <c r="AQ43" i="19"/>
  <c r="AD43" i="19"/>
  <c r="Q43" i="19"/>
  <c r="BQ42" i="19"/>
  <c r="BD42" i="19"/>
  <c r="AQ42" i="19"/>
  <c r="AD42" i="19"/>
  <c r="Q42" i="19"/>
  <c r="BQ41" i="19"/>
  <c r="BD41" i="19"/>
  <c r="AQ41" i="19"/>
  <c r="AD41" i="19"/>
  <c r="Q41" i="19"/>
  <c r="BQ40" i="19"/>
  <c r="BD40" i="19"/>
  <c r="AQ40" i="19"/>
  <c r="AD40" i="19"/>
  <c r="Q40" i="19"/>
  <c r="BQ39" i="19"/>
  <c r="BD39" i="19"/>
  <c r="AQ39" i="19"/>
  <c r="AD39" i="19"/>
  <c r="Q39" i="19"/>
  <c r="BQ38" i="19"/>
  <c r="BD38" i="19"/>
  <c r="AQ38" i="19"/>
  <c r="AD38" i="19"/>
  <c r="Q38" i="19"/>
  <c r="BQ37" i="19"/>
  <c r="BD37" i="19"/>
  <c r="AQ37" i="19"/>
  <c r="AD37" i="19"/>
  <c r="Q37" i="19"/>
  <c r="BQ36" i="19"/>
  <c r="BD36" i="19"/>
  <c r="AQ36" i="19"/>
  <c r="AD36" i="19"/>
  <c r="Q36" i="19"/>
  <c r="BQ35" i="19"/>
  <c r="BD35" i="19"/>
  <c r="AQ35" i="19"/>
  <c r="AD35" i="19"/>
  <c r="Q35" i="19"/>
  <c r="BP34" i="19"/>
  <c r="BO34" i="19"/>
  <c r="BN34" i="19"/>
  <c r="BM34" i="19"/>
  <c r="BL34" i="19"/>
  <c r="BK34" i="19"/>
  <c r="BJ34" i="19"/>
  <c r="BI34" i="19"/>
  <c r="BH34" i="19"/>
  <c r="BG34" i="19"/>
  <c r="BF34" i="19"/>
  <c r="BE34" i="19"/>
  <c r="BQ34" i="19" s="1"/>
  <c r="BC34" i="19"/>
  <c r="BB34" i="19"/>
  <c r="BA34" i="19"/>
  <c r="AZ34" i="19"/>
  <c r="AY34" i="19"/>
  <c r="AX34" i="19"/>
  <c r="AW34" i="19"/>
  <c r="AV34" i="19"/>
  <c r="AU34" i="19"/>
  <c r="AT34" i="19"/>
  <c r="AS34" i="19"/>
  <c r="AR34" i="19"/>
  <c r="BD34" i="19" s="1"/>
  <c r="AP34" i="19"/>
  <c r="AO34" i="19"/>
  <c r="AN34" i="19"/>
  <c r="AM34" i="19"/>
  <c r="AL34" i="19"/>
  <c r="AK34" i="19"/>
  <c r="AJ34" i="19"/>
  <c r="AI34" i="19"/>
  <c r="AH34" i="19"/>
  <c r="AG34" i="19"/>
  <c r="AF34" i="19"/>
  <c r="AE34" i="19"/>
  <c r="AQ34" i="19" s="1"/>
  <c r="AC34" i="19"/>
  <c r="AB34" i="19"/>
  <c r="AA34" i="19"/>
  <c r="Z34" i="19"/>
  <c r="Y34" i="19"/>
  <c r="X34" i="19"/>
  <c r="W34" i="19"/>
  <c r="V34" i="19"/>
  <c r="U34" i="19"/>
  <c r="T34" i="19"/>
  <c r="S34" i="19"/>
  <c r="R34" i="19"/>
  <c r="AD34" i="19" s="1"/>
  <c r="Q34" i="19"/>
  <c r="BP33" i="19"/>
  <c r="BO33" i="19"/>
  <c r="BN33" i="19"/>
  <c r="BM33" i="19"/>
  <c r="BL33" i="19"/>
  <c r="BK33" i="19"/>
  <c r="BJ33" i="19"/>
  <c r="BI33" i="19"/>
  <c r="BH33" i="19"/>
  <c r="BG33" i="19"/>
  <c r="BF33" i="19"/>
  <c r="BE33" i="19"/>
  <c r="BQ33" i="19" s="1"/>
  <c r="BC33" i="19"/>
  <c r="BB33" i="19"/>
  <c r="BA33" i="19"/>
  <c r="AZ33" i="19"/>
  <c r="AY33" i="19"/>
  <c r="AX33" i="19"/>
  <c r="AW33" i="19"/>
  <c r="AV33" i="19"/>
  <c r="AU33" i="19"/>
  <c r="AT33" i="19"/>
  <c r="AS33" i="19"/>
  <c r="AR33" i="19"/>
  <c r="BD33" i="19" s="1"/>
  <c r="AP33" i="19"/>
  <c r="AO33" i="19"/>
  <c r="AN33" i="19"/>
  <c r="AM33" i="19"/>
  <c r="AL33" i="19"/>
  <c r="AK33" i="19"/>
  <c r="AJ33" i="19"/>
  <c r="AI33" i="19"/>
  <c r="AH33" i="19"/>
  <c r="AG33" i="19"/>
  <c r="AF33" i="19"/>
  <c r="AE33" i="19"/>
  <c r="AQ33" i="19" s="1"/>
  <c r="AC33" i="19"/>
  <c r="AB33" i="19"/>
  <c r="AA33" i="19"/>
  <c r="Z33" i="19"/>
  <c r="Y33" i="19"/>
  <c r="X33" i="19"/>
  <c r="W33" i="19"/>
  <c r="V33" i="19"/>
  <c r="U33" i="19"/>
  <c r="T33" i="19"/>
  <c r="S33" i="19"/>
  <c r="R33" i="19"/>
  <c r="AD33" i="19" s="1"/>
  <c r="Q33" i="19"/>
  <c r="BP32" i="19"/>
  <c r="BO32" i="19"/>
  <c r="BN32" i="19"/>
  <c r="BM32" i="19"/>
  <c r="BL32" i="19"/>
  <c r="BK32" i="19"/>
  <c r="BJ32" i="19"/>
  <c r="BI32" i="19"/>
  <c r="BH32" i="19"/>
  <c r="BG32" i="19"/>
  <c r="BF32" i="19"/>
  <c r="BE32" i="19"/>
  <c r="BQ32" i="19" s="1"/>
  <c r="BC32" i="19"/>
  <c r="BB32" i="19"/>
  <c r="BA32" i="19"/>
  <c r="AZ32" i="19"/>
  <c r="BD32" i="19" s="1"/>
  <c r="AY32" i="19"/>
  <c r="AX32" i="19"/>
  <c r="AW32" i="19"/>
  <c r="AV32" i="19"/>
  <c r="AU32" i="19"/>
  <c r="AT32" i="19"/>
  <c r="AS32" i="19"/>
  <c r="AR32" i="19"/>
  <c r="AP32" i="19"/>
  <c r="AO32" i="19"/>
  <c r="AN32" i="19"/>
  <c r="AM32" i="19"/>
  <c r="AL32" i="19"/>
  <c r="AK32" i="19"/>
  <c r="AJ32" i="19"/>
  <c r="AI32" i="19"/>
  <c r="AH32" i="19"/>
  <c r="AG32" i="19"/>
  <c r="AF32" i="19"/>
  <c r="AE32" i="19"/>
  <c r="AQ32" i="19" s="1"/>
  <c r="AC32" i="19"/>
  <c r="AB32" i="19"/>
  <c r="AA32" i="19"/>
  <c r="Z32" i="19"/>
  <c r="Y32" i="19"/>
  <c r="X32" i="19"/>
  <c r="W32" i="19"/>
  <c r="V32" i="19"/>
  <c r="U32" i="19"/>
  <c r="T32" i="19"/>
  <c r="S32" i="19"/>
  <c r="R32" i="19"/>
  <c r="AD32" i="19" s="1"/>
  <c r="Q32" i="19"/>
  <c r="BP31" i="19"/>
  <c r="BO31" i="19"/>
  <c r="BN31" i="19"/>
  <c r="BM31" i="19"/>
  <c r="BL31" i="19"/>
  <c r="BK31" i="19"/>
  <c r="BJ31" i="19"/>
  <c r="BI31" i="19"/>
  <c r="BH31" i="19"/>
  <c r="BG31" i="19"/>
  <c r="BF31" i="19"/>
  <c r="BE31" i="19"/>
  <c r="BQ31" i="19" s="1"/>
  <c r="BC31" i="19"/>
  <c r="BB31" i="19"/>
  <c r="BA31" i="19"/>
  <c r="AZ31" i="19"/>
  <c r="AY31" i="19"/>
  <c r="AX31" i="19"/>
  <c r="AW31" i="19"/>
  <c r="AV31" i="19"/>
  <c r="AU31" i="19"/>
  <c r="AT31" i="19"/>
  <c r="AS31" i="19"/>
  <c r="AR31" i="19"/>
  <c r="BD31" i="19" s="1"/>
  <c r="AP31" i="19"/>
  <c r="AO31" i="19"/>
  <c r="AN31" i="19"/>
  <c r="AM31" i="19"/>
  <c r="AL31" i="19"/>
  <c r="AK31" i="19"/>
  <c r="AJ31" i="19"/>
  <c r="AI31" i="19"/>
  <c r="AH31" i="19"/>
  <c r="AG31" i="19"/>
  <c r="AF31" i="19"/>
  <c r="AE31" i="19"/>
  <c r="AQ31" i="19" s="1"/>
  <c r="AC31" i="19"/>
  <c r="AB31" i="19"/>
  <c r="AA31" i="19"/>
  <c r="Z31" i="19"/>
  <c r="Y31" i="19"/>
  <c r="X31" i="19"/>
  <c r="W31" i="19"/>
  <c r="V31" i="19"/>
  <c r="U31" i="19"/>
  <c r="T31" i="19"/>
  <c r="S31" i="19"/>
  <c r="R31" i="19"/>
  <c r="AD31" i="19" s="1"/>
  <c r="Q31" i="19"/>
  <c r="BP30" i="19"/>
  <c r="BO30" i="19"/>
  <c r="BN30" i="19"/>
  <c r="BM30" i="19"/>
  <c r="BL30" i="19"/>
  <c r="BK30" i="19"/>
  <c r="BJ30" i="19"/>
  <c r="BI30" i="19"/>
  <c r="BH30" i="19"/>
  <c r="BG30" i="19"/>
  <c r="BF30" i="19"/>
  <c r="BE30" i="19"/>
  <c r="BQ30" i="19" s="1"/>
  <c r="BC30" i="19"/>
  <c r="BB30" i="19"/>
  <c r="BA30" i="19"/>
  <c r="AZ30" i="19"/>
  <c r="AY30" i="19"/>
  <c r="AX30" i="19"/>
  <c r="AW30" i="19"/>
  <c r="AV30" i="19"/>
  <c r="AU30" i="19"/>
  <c r="AT30" i="19"/>
  <c r="AS30" i="19"/>
  <c r="AR30" i="19"/>
  <c r="BD30" i="19" s="1"/>
  <c r="AP30" i="19"/>
  <c r="AO30" i="19"/>
  <c r="AN30" i="19"/>
  <c r="AM30" i="19"/>
  <c r="AL30" i="19"/>
  <c r="AK30" i="19"/>
  <c r="AJ30" i="19"/>
  <c r="AI30" i="19"/>
  <c r="AH30" i="19"/>
  <c r="AG30" i="19"/>
  <c r="AF30" i="19"/>
  <c r="AE30" i="19"/>
  <c r="AQ30" i="19" s="1"/>
  <c r="AC30" i="19"/>
  <c r="AB30" i="19"/>
  <c r="AA30" i="19"/>
  <c r="Z30" i="19"/>
  <c r="Y30" i="19"/>
  <c r="X30" i="19"/>
  <c r="W30" i="19"/>
  <c r="V30" i="19"/>
  <c r="U30" i="19"/>
  <c r="T30" i="19"/>
  <c r="S30" i="19"/>
  <c r="R30" i="19"/>
  <c r="AD30" i="19" s="1"/>
  <c r="Q30" i="19"/>
  <c r="BP29" i="19"/>
  <c r="BO29" i="19"/>
  <c r="BN29" i="19"/>
  <c r="BM29" i="19"/>
  <c r="BL29" i="19"/>
  <c r="BK29" i="19"/>
  <c r="BJ29" i="19"/>
  <c r="BI29" i="19"/>
  <c r="BH29" i="19"/>
  <c r="BG29" i="19"/>
  <c r="BF29" i="19"/>
  <c r="BE29" i="19"/>
  <c r="BQ29" i="19" s="1"/>
  <c r="BC29" i="19"/>
  <c r="BB29" i="19"/>
  <c r="BA29" i="19"/>
  <c r="AZ29" i="19"/>
  <c r="AY29" i="19"/>
  <c r="AX29" i="19"/>
  <c r="AW29" i="19"/>
  <c r="AV29" i="19"/>
  <c r="AU29" i="19"/>
  <c r="AT29" i="19"/>
  <c r="AS29" i="19"/>
  <c r="AR29" i="19"/>
  <c r="BD29" i="19" s="1"/>
  <c r="AP29" i="19"/>
  <c r="AO29" i="19"/>
  <c r="AN29" i="19"/>
  <c r="AM29" i="19"/>
  <c r="AL29" i="19"/>
  <c r="AK29" i="19"/>
  <c r="AJ29" i="19"/>
  <c r="AI29" i="19"/>
  <c r="AH29" i="19"/>
  <c r="AG29" i="19"/>
  <c r="AF29" i="19"/>
  <c r="AE29" i="19"/>
  <c r="AQ29" i="19" s="1"/>
  <c r="AC29" i="19"/>
  <c r="AB29" i="19"/>
  <c r="AA29" i="19"/>
  <c r="Z29" i="19"/>
  <c r="Y29" i="19"/>
  <c r="X29" i="19"/>
  <c r="W29" i="19"/>
  <c r="V29" i="19"/>
  <c r="U29" i="19"/>
  <c r="T29" i="19"/>
  <c r="S29" i="19"/>
  <c r="R29" i="19"/>
  <c r="AD29" i="19" s="1"/>
  <c r="Q29" i="19"/>
  <c r="BP28" i="19"/>
  <c r="BO28" i="19"/>
  <c r="BN28" i="19"/>
  <c r="BM28" i="19"/>
  <c r="BL28" i="19"/>
  <c r="BK28" i="19"/>
  <c r="BJ28" i="19"/>
  <c r="BI28" i="19"/>
  <c r="BH28" i="19"/>
  <c r="BG28" i="19"/>
  <c r="BF28" i="19"/>
  <c r="BE28" i="19"/>
  <c r="BQ28" i="19" s="1"/>
  <c r="BC28" i="19"/>
  <c r="BB28" i="19"/>
  <c r="BA28" i="19"/>
  <c r="AZ28" i="19"/>
  <c r="AY28" i="19"/>
  <c r="AX28" i="19"/>
  <c r="AW28" i="19"/>
  <c r="AV28" i="19"/>
  <c r="AU28" i="19"/>
  <c r="AT28" i="19"/>
  <c r="AS28" i="19"/>
  <c r="AR28" i="19"/>
  <c r="BD28" i="19" s="1"/>
  <c r="AP28" i="19"/>
  <c r="AO28" i="19"/>
  <c r="AN28" i="19"/>
  <c r="AM28" i="19"/>
  <c r="AL28" i="19"/>
  <c r="AK28" i="19"/>
  <c r="AJ28" i="19"/>
  <c r="AI28" i="19"/>
  <c r="AH28" i="19"/>
  <c r="AG28" i="19"/>
  <c r="AF28" i="19"/>
  <c r="AE28" i="19"/>
  <c r="AQ28" i="19" s="1"/>
  <c r="AC28" i="19"/>
  <c r="AB28" i="19"/>
  <c r="AA28" i="19"/>
  <c r="Z28" i="19"/>
  <c r="Y28" i="19"/>
  <c r="X28" i="19"/>
  <c r="W28" i="19"/>
  <c r="V28" i="19"/>
  <c r="U28" i="19"/>
  <c r="T28" i="19"/>
  <c r="S28" i="19"/>
  <c r="R28" i="19"/>
  <c r="AD28" i="19" s="1"/>
  <c r="Q28" i="19"/>
  <c r="BP27" i="19"/>
  <c r="BO27" i="19"/>
  <c r="BN27" i="19"/>
  <c r="BM27" i="19"/>
  <c r="BL27" i="19"/>
  <c r="BK27" i="19"/>
  <c r="BJ27" i="19"/>
  <c r="BI27" i="19"/>
  <c r="BH27" i="19"/>
  <c r="BG27" i="19"/>
  <c r="BF27" i="19"/>
  <c r="BE27" i="19"/>
  <c r="BQ27" i="19" s="1"/>
  <c r="BC27" i="19"/>
  <c r="BB27" i="19"/>
  <c r="BA27" i="19"/>
  <c r="AZ27" i="19"/>
  <c r="AY27" i="19"/>
  <c r="AX27" i="19"/>
  <c r="AW27" i="19"/>
  <c r="AV27" i="19"/>
  <c r="AU27" i="19"/>
  <c r="AT27" i="19"/>
  <c r="AS27" i="19"/>
  <c r="AR27" i="19"/>
  <c r="BD27" i="19" s="1"/>
  <c r="AP27" i="19"/>
  <c r="AO27" i="19"/>
  <c r="AN27" i="19"/>
  <c r="AM27" i="19"/>
  <c r="AL27" i="19"/>
  <c r="AK27" i="19"/>
  <c r="AJ27" i="19"/>
  <c r="AI27" i="19"/>
  <c r="AH27" i="19"/>
  <c r="AG27" i="19"/>
  <c r="AF27" i="19"/>
  <c r="AE27" i="19"/>
  <c r="AQ27" i="19" s="1"/>
  <c r="AC27" i="19"/>
  <c r="AB27" i="19"/>
  <c r="AA27" i="19"/>
  <c r="Z27" i="19"/>
  <c r="Y27" i="19"/>
  <c r="X27" i="19"/>
  <c r="W27" i="19"/>
  <c r="V27" i="19"/>
  <c r="U27" i="19"/>
  <c r="T27" i="19"/>
  <c r="S27" i="19"/>
  <c r="R27" i="19"/>
  <c r="AD27" i="19" s="1"/>
  <c r="Q27" i="19"/>
  <c r="BP26" i="19"/>
  <c r="BO26" i="19"/>
  <c r="BN26" i="19"/>
  <c r="BM26" i="19"/>
  <c r="BL26" i="19"/>
  <c r="BK26" i="19"/>
  <c r="BJ26" i="19"/>
  <c r="BI26" i="19"/>
  <c r="BH26" i="19"/>
  <c r="BG26" i="19"/>
  <c r="BF26" i="19"/>
  <c r="BE26" i="19"/>
  <c r="BQ26" i="19" s="1"/>
  <c r="BC26" i="19"/>
  <c r="BB26" i="19"/>
  <c r="BA26" i="19"/>
  <c r="AZ26" i="19"/>
  <c r="AY26" i="19"/>
  <c r="AX26" i="19"/>
  <c r="AW26" i="19"/>
  <c r="AV26" i="19"/>
  <c r="AU26" i="19"/>
  <c r="AT26" i="19"/>
  <c r="AS26" i="19"/>
  <c r="AR26" i="19"/>
  <c r="BD26" i="19" s="1"/>
  <c r="AP26" i="19"/>
  <c r="AO26" i="19"/>
  <c r="AN26" i="19"/>
  <c r="AM26" i="19"/>
  <c r="AL26" i="19"/>
  <c r="AK26" i="19"/>
  <c r="AJ26" i="19"/>
  <c r="AI26" i="19"/>
  <c r="AH26" i="19"/>
  <c r="AG26" i="19"/>
  <c r="AF26" i="19"/>
  <c r="AE26" i="19"/>
  <c r="AQ26" i="19" s="1"/>
  <c r="AC26" i="19"/>
  <c r="AB26" i="19"/>
  <c r="AA26" i="19"/>
  <c r="Z26" i="19"/>
  <c r="Y26" i="19"/>
  <c r="X26" i="19"/>
  <c r="W26" i="19"/>
  <c r="V26" i="19"/>
  <c r="U26" i="19"/>
  <c r="T26" i="19"/>
  <c r="S26" i="19"/>
  <c r="R26" i="19"/>
  <c r="AD26" i="19" s="1"/>
  <c r="Q26" i="19"/>
  <c r="BP25" i="19"/>
  <c r="BO25" i="19"/>
  <c r="BN25" i="19"/>
  <c r="BM25" i="19"/>
  <c r="BL25" i="19"/>
  <c r="BK25" i="19"/>
  <c r="BJ25" i="19"/>
  <c r="BI25" i="19"/>
  <c r="BH25" i="19"/>
  <c r="BG25" i="19"/>
  <c r="BF25" i="19"/>
  <c r="BE25" i="19"/>
  <c r="BQ25" i="19" s="1"/>
  <c r="BC25" i="19"/>
  <c r="BB25" i="19"/>
  <c r="BA25" i="19"/>
  <c r="AZ25" i="19"/>
  <c r="AY25" i="19"/>
  <c r="AX25" i="19"/>
  <c r="AW25" i="19"/>
  <c r="AV25" i="19"/>
  <c r="AU25" i="19"/>
  <c r="AT25" i="19"/>
  <c r="AS25" i="19"/>
  <c r="AR25" i="19"/>
  <c r="BD25" i="19" s="1"/>
  <c r="AP25" i="19"/>
  <c r="AO25" i="19"/>
  <c r="AN25" i="19"/>
  <c r="AM25" i="19"/>
  <c r="AL25" i="19"/>
  <c r="AK25" i="19"/>
  <c r="AJ25" i="19"/>
  <c r="AI25" i="19"/>
  <c r="AH25" i="19"/>
  <c r="AG25" i="19"/>
  <c r="AF25" i="19"/>
  <c r="AE25" i="19"/>
  <c r="AQ25" i="19" s="1"/>
  <c r="AC25" i="19"/>
  <c r="AB25" i="19"/>
  <c r="AA25" i="19"/>
  <c r="Z25" i="19"/>
  <c r="Y25" i="19"/>
  <c r="X25" i="19"/>
  <c r="W25" i="19"/>
  <c r="V25" i="19"/>
  <c r="U25" i="19"/>
  <c r="T25" i="19"/>
  <c r="S25" i="19"/>
  <c r="R25" i="19"/>
  <c r="AD25" i="19" s="1"/>
  <c r="Q25" i="19"/>
  <c r="BP24" i="19"/>
  <c r="BO24" i="19"/>
  <c r="BN24" i="19"/>
  <c r="BM24" i="19"/>
  <c r="BL24" i="19"/>
  <c r="BK24" i="19"/>
  <c r="BJ24" i="19"/>
  <c r="BI24" i="19"/>
  <c r="BH24" i="19"/>
  <c r="BG24" i="19"/>
  <c r="BF24" i="19"/>
  <c r="BE24" i="19"/>
  <c r="BQ24" i="19" s="1"/>
  <c r="BC24" i="19"/>
  <c r="BB24" i="19"/>
  <c r="BA24" i="19"/>
  <c r="AZ24" i="19"/>
  <c r="AY24" i="19"/>
  <c r="AX24" i="19"/>
  <c r="AW24" i="19"/>
  <c r="AV24" i="19"/>
  <c r="AU24" i="19"/>
  <c r="AT24" i="19"/>
  <c r="AS24" i="19"/>
  <c r="AR24" i="19"/>
  <c r="BD24" i="19" s="1"/>
  <c r="AP24" i="19"/>
  <c r="AO24" i="19"/>
  <c r="AN24" i="19"/>
  <c r="AM24" i="19"/>
  <c r="AL24" i="19"/>
  <c r="AK24" i="19"/>
  <c r="AJ24" i="19"/>
  <c r="AI24" i="19"/>
  <c r="AH24" i="19"/>
  <c r="AG24" i="19"/>
  <c r="AF24" i="19"/>
  <c r="AE24" i="19"/>
  <c r="AQ24" i="19" s="1"/>
  <c r="AC24" i="19"/>
  <c r="AB24" i="19"/>
  <c r="AA24" i="19"/>
  <c r="Z24" i="19"/>
  <c r="Y24" i="19"/>
  <c r="X24" i="19"/>
  <c r="W24" i="19"/>
  <c r="V24" i="19"/>
  <c r="U24" i="19"/>
  <c r="T24" i="19"/>
  <c r="S24" i="19"/>
  <c r="R24" i="19"/>
  <c r="AD24" i="19" s="1"/>
  <c r="Q24" i="19"/>
  <c r="BP23" i="19"/>
  <c r="BO23" i="19"/>
  <c r="BN23" i="19"/>
  <c r="BM23" i="19"/>
  <c r="BL23" i="19"/>
  <c r="BK23" i="19"/>
  <c r="BJ23" i="19"/>
  <c r="BI23" i="19"/>
  <c r="BH23" i="19"/>
  <c r="BG23" i="19"/>
  <c r="BF23" i="19"/>
  <c r="BE23" i="19"/>
  <c r="BQ23" i="19" s="1"/>
  <c r="BC23" i="19"/>
  <c r="BB23" i="19"/>
  <c r="BA23" i="19"/>
  <c r="AZ23" i="19"/>
  <c r="AY23" i="19"/>
  <c r="AX23" i="19"/>
  <c r="AW23" i="19"/>
  <c r="AV23" i="19"/>
  <c r="AU23" i="19"/>
  <c r="AT23" i="19"/>
  <c r="AS23" i="19"/>
  <c r="AR23" i="19"/>
  <c r="BD23" i="19" s="1"/>
  <c r="AP23" i="19"/>
  <c r="AO23" i="19"/>
  <c r="AN23" i="19"/>
  <c r="AM23" i="19"/>
  <c r="AL23" i="19"/>
  <c r="AK23" i="19"/>
  <c r="AJ23" i="19"/>
  <c r="AI23" i="19"/>
  <c r="AH23" i="19"/>
  <c r="AG23" i="19"/>
  <c r="AF23" i="19"/>
  <c r="AE23" i="19"/>
  <c r="AQ23" i="19" s="1"/>
  <c r="AC23" i="19"/>
  <c r="AB23" i="19"/>
  <c r="AA23" i="19"/>
  <c r="Z23" i="19"/>
  <c r="Y23" i="19"/>
  <c r="X23" i="19"/>
  <c r="W23" i="19"/>
  <c r="V23" i="19"/>
  <c r="U23" i="19"/>
  <c r="T23" i="19"/>
  <c r="S23" i="19"/>
  <c r="R23" i="19"/>
  <c r="AD23" i="19" s="1"/>
  <c r="Q23" i="19"/>
  <c r="BP22" i="19"/>
  <c r="BO22" i="19"/>
  <c r="BN22" i="19"/>
  <c r="BM22" i="19"/>
  <c r="BL22" i="19"/>
  <c r="BK22" i="19"/>
  <c r="BJ22" i="19"/>
  <c r="BI22" i="19"/>
  <c r="BH22" i="19"/>
  <c r="BG22" i="19"/>
  <c r="BF22" i="19"/>
  <c r="BE22" i="19"/>
  <c r="BQ22" i="19" s="1"/>
  <c r="BC22" i="19"/>
  <c r="BB22" i="19"/>
  <c r="BA22" i="19"/>
  <c r="AZ22" i="19"/>
  <c r="AY22" i="19"/>
  <c r="AX22" i="19"/>
  <c r="AW22" i="19"/>
  <c r="AV22" i="19"/>
  <c r="AU22" i="19"/>
  <c r="AT22" i="19"/>
  <c r="AS22" i="19"/>
  <c r="AR22" i="19"/>
  <c r="BD22" i="19" s="1"/>
  <c r="AP22" i="19"/>
  <c r="AO22" i="19"/>
  <c r="AN22" i="19"/>
  <c r="AM22" i="19"/>
  <c r="AL22" i="19"/>
  <c r="AK22" i="19"/>
  <c r="AJ22" i="19"/>
  <c r="AI22" i="19"/>
  <c r="AH22" i="19"/>
  <c r="AG22" i="19"/>
  <c r="AF22" i="19"/>
  <c r="AE22" i="19"/>
  <c r="AQ22" i="19" s="1"/>
  <c r="AC22" i="19"/>
  <c r="AB22" i="19"/>
  <c r="AA22" i="19"/>
  <c r="Z22" i="19"/>
  <c r="Y22" i="19"/>
  <c r="X22" i="19"/>
  <c r="W22" i="19"/>
  <c r="V22" i="19"/>
  <c r="U22" i="19"/>
  <c r="T22" i="19"/>
  <c r="S22" i="19"/>
  <c r="R22" i="19"/>
  <c r="AD22" i="19" s="1"/>
  <c r="Q22" i="19"/>
  <c r="BP21" i="19"/>
  <c r="BO21" i="19"/>
  <c r="BN21" i="19"/>
  <c r="BM21" i="19"/>
  <c r="BL21" i="19"/>
  <c r="BK21" i="19"/>
  <c r="BJ21" i="19"/>
  <c r="BI21" i="19"/>
  <c r="BH21" i="19"/>
  <c r="BG21" i="19"/>
  <c r="BF21" i="19"/>
  <c r="BE21" i="19"/>
  <c r="BQ21" i="19" s="1"/>
  <c r="BC21" i="19"/>
  <c r="BB21" i="19"/>
  <c r="BA21" i="19"/>
  <c r="AZ21" i="19"/>
  <c r="AY21" i="19"/>
  <c r="AX21" i="19"/>
  <c r="AW21" i="19"/>
  <c r="AV21" i="19"/>
  <c r="AU21" i="19"/>
  <c r="AT21" i="19"/>
  <c r="AS21" i="19"/>
  <c r="AR21" i="19"/>
  <c r="BD21" i="19" s="1"/>
  <c r="AP21" i="19"/>
  <c r="AO21" i="19"/>
  <c r="AN21" i="19"/>
  <c r="AM21" i="19"/>
  <c r="AL21" i="19"/>
  <c r="AK21" i="19"/>
  <c r="AJ21" i="19"/>
  <c r="AI21" i="19"/>
  <c r="AH21" i="19"/>
  <c r="AG21" i="19"/>
  <c r="AF21" i="19"/>
  <c r="AE21" i="19"/>
  <c r="AQ21" i="19" s="1"/>
  <c r="AC21" i="19"/>
  <c r="AB21" i="19"/>
  <c r="AA21" i="19"/>
  <c r="Z21" i="19"/>
  <c r="Y21" i="19"/>
  <c r="X21" i="19"/>
  <c r="W21" i="19"/>
  <c r="V21" i="19"/>
  <c r="U21" i="19"/>
  <c r="T21" i="19"/>
  <c r="S21" i="19"/>
  <c r="R21" i="19"/>
  <c r="AD21" i="19" s="1"/>
  <c r="Q21" i="19"/>
  <c r="BP20" i="19"/>
  <c r="BO20" i="19"/>
  <c r="BN20" i="19"/>
  <c r="BM20" i="19"/>
  <c r="BL20" i="19"/>
  <c r="BK20" i="19"/>
  <c r="BJ20" i="19"/>
  <c r="BI20" i="19"/>
  <c r="BH20" i="19"/>
  <c r="BG20" i="19"/>
  <c r="BF20" i="19"/>
  <c r="BE20" i="19"/>
  <c r="BQ20" i="19" s="1"/>
  <c r="BC20" i="19"/>
  <c r="BB20" i="19"/>
  <c r="BA20" i="19"/>
  <c r="AZ20" i="19"/>
  <c r="AY20" i="19"/>
  <c r="AX20" i="19"/>
  <c r="AW20" i="19"/>
  <c r="AV20" i="19"/>
  <c r="AU20" i="19"/>
  <c r="AT20" i="19"/>
  <c r="AS20" i="19"/>
  <c r="AR20" i="19"/>
  <c r="BD20" i="19" s="1"/>
  <c r="AP20" i="19"/>
  <c r="AO20" i="19"/>
  <c r="AN20" i="19"/>
  <c r="AM20" i="19"/>
  <c r="AL20" i="19"/>
  <c r="AK20" i="19"/>
  <c r="AJ20" i="19"/>
  <c r="AI20" i="19"/>
  <c r="AH20" i="19"/>
  <c r="AG20" i="19"/>
  <c r="AF20" i="19"/>
  <c r="AE20" i="19"/>
  <c r="AQ20" i="19" s="1"/>
  <c r="AD20" i="19"/>
  <c r="AC20" i="19"/>
  <c r="AB20" i="19"/>
  <c r="AA20" i="19"/>
  <c r="Z20" i="19"/>
  <c r="Y20" i="19"/>
  <c r="X20" i="19"/>
  <c r="W20" i="19"/>
  <c r="V20" i="19"/>
  <c r="U20" i="19"/>
  <c r="T20" i="19"/>
  <c r="S20" i="19"/>
  <c r="R20" i="19"/>
  <c r="Q20" i="19"/>
  <c r="BP19" i="19"/>
  <c r="BO19" i="19"/>
  <c r="BN19" i="19"/>
  <c r="BM19" i="19"/>
  <c r="BL19" i="19"/>
  <c r="BK19" i="19"/>
  <c r="BJ19" i="19"/>
  <c r="BI19" i="19"/>
  <c r="BH19" i="19"/>
  <c r="BG19" i="19"/>
  <c r="BF19" i="19"/>
  <c r="BE19" i="19"/>
  <c r="BQ19" i="19" s="1"/>
  <c r="BC19" i="19"/>
  <c r="BB19" i="19"/>
  <c r="BA19" i="19"/>
  <c r="AZ19" i="19"/>
  <c r="AY19" i="19"/>
  <c r="AX19" i="19"/>
  <c r="AW19" i="19"/>
  <c r="AV19" i="19"/>
  <c r="AU19" i="19"/>
  <c r="AT19" i="19"/>
  <c r="AS19" i="19"/>
  <c r="AR19" i="19"/>
  <c r="BD19" i="19" s="1"/>
  <c r="AP19" i="19"/>
  <c r="AO19" i="19"/>
  <c r="AN19" i="19"/>
  <c r="AM19" i="19"/>
  <c r="AL19" i="19"/>
  <c r="AK19" i="19"/>
  <c r="AJ19" i="19"/>
  <c r="AI19" i="19"/>
  <c r="AH19" i="19"/>
  <c r="AG19" i="19"/>
  <c r="AF19" i="19"/>
  <c r="AE19" i="19"/>
  <c r="AQ19" i="19" s="1"/>
  <c r="AC19" i="19"/>
  <c r="AB19" i="19"/>
  <c r="AA19" i="19"/>
  <c r="Z19" i="19"/>
  <c r="Y19" i="19"/>
  <c r="X19" i="19"/>
  <c r="W19" i="19"/>
  <c r="V19" i="19"/>
  <c r="U19" i="19"/>
  <c r="T19" i="19"/>
  <c r="S19" i="19"/>
  <c r="R19" i="19"/>
  <c r="AD19" i="19" s="1"/>
  <c r="Q19" i="19"/>
  <c r="BP18" i="19"/>
  <c r="BO18" i="19"/>
  <c r="BN18" i="19"/>
  <c r="BM18" i="19"/>
  <c r="BL18" i="19"/>
  <c r="BK18" i="19"/>
  <c r="BJ18" i="19"/>
  <c r="BI18" i="19"/>
  <c r="BH18" i="19"/>
  <c r="BG18" i="19"/>
  <c r="BF18" i="19"/>
  <c r="BE18" i="19"/>
  <c r="BQ18" i="19" s="1"/>
  <c r="BC18" i="19"/>
  <c r="BB18" i="19"/>
  <c r="BA18" i="19"/>
  <c r="AZ18" i="19"/>
  <c r="AY18" i="19"/>
  <c r="AX18" i="19"/>
  <c r="AW18" i="19"/>
  <c r="AV18" i="19"/>
  <c r="AU18" i="19"/>
  <c r="AT18" i="19"/>
  <c r="AS18" i="19"/>
  <c r="AR18" i="19"/>
  <c r="BD18" i="19" s="1"/>
  <c r="AP18" i="19"/>
  <c r="AO18" i="19"/>
  <c r="AN18" i="19"/>
  <c r="AM18" i="19"/>
  <c r="AL18" i="19"/>
  <c r="AK18" i="19"/>
  <c r="AJ18" i="19"/>
  <c r="AI18" i="19"/>
  <c r="AH18" i="19"/>
  <c r="AG18" i="19"/>
  <c r="AF18" i="19"/>
  <c r="AE18" i="19"/>
  <c r="AQ18" i="19" s="1"/>
  <c r="AC18" i="19"/>
  <c r="AB18" i="19"/>
  <c r="AA18" i="19"/>
  <c r="Z18" i="19"/>
  <c r="Y18" i="19"/>
  <c r="X18" i="19"/>
  <c r="W18" i="19"/>
  <c r="V18" i="19"/>
  <c r="U18" i="19"/>
  <c r="T18" i="19"/>
  <c r="S18" i="19"/>
  <c r="R18" i="19"/>
  <c r="AD18" i="19" s="1"/>
  <c r="Q18" i="19"/>
  <c r="BP17" i="19"/>
  <c r="BO17" i="19"/>
  <c r="BQ17" i="19" s="1"/>
  <c r="BN17" i="19"/>
  <c r="BM17" i="19"/>
  <c r="BL17" i="19"/>
  <c r="BK17" i="19"/>
  <c r="BJ17" i="19"/>
  <c r="BI17" i="19"/>
  <c r="BH17" i="19"/>
  <c r="BG17" i="19"/>
  <c r="BF17" i="19"/>
  <c r="BE17" i="19"/>
  <c r="BC17" i="19"/>
  <c r="BB17" i="19"/>
  <c r="BA17" i="19"/>
  <c r="AZ17" i="19"/>
  <c r="AY17" i="19"/>
  <c r="AX17" i="19"/>
  <c r="AW17" i="19"/>
  <c r="AV17" i="19"/>
  <c r="AU17" i="19"/>
  <c r="AT17" i="19"/>
  <c r="AS17" i="19"/>
  <c r="AR17" i="19"/>
  <c r="BD17" i="19" s="1"/>
  <c r="AP17" i="19"/>
  <c r="AO17" i="19"/>
  <c r="AN17" i="19"/>
  <c r="AM17" i="19"/>
  <c r="AL17" i="19"/>
  <c r="AK17" i="19"/>
  <c r="AJ17" i="19"/>
  <c r="AI17" i="19"/>
  <c r="AH17" i="19"/>
  <c r="AG17" i="19"/>
  <c r="AF17" i="19"/>
  <c r="AE17" i="19"/>
  <c r="AQ17" i="19" s="1"/>
  <c r="AC17" i="19"/>
  <c r="AB17" i="19"/>
  <c r="AA17" i="19"/>
  <c r="Z17" i="19"/>
  <c r="Y17" i="19"/>
  <c r="X17" i="19"/>
  <c r="W17" i="19"/>
  <c r="V17" i="19"/>
  <c r="U17" i="19"/>
  <c r="T17" i="19"/>
  <c r="S17" i="19"/>
  <c r="R17" i="19"/>
  <c r="AD17" i="19" s="1"/>
  <c r="Q17" i="19"/>
  <c r="BP16" i="19"/>
  <c r="BO16" i="19"/>
  <c r="BN16" i="19"/>
  <c r="BM16" i="19"/>
  <c r="BL16" i="19"/>
  <c r="BK16" i="19"/>
  <c r="BJ16" i="19"/>
  <c r="BI16" i="19"/>
  <c r="BH16" i="19"/>
  <c r="BG16" i="19"/>
  <c r="BF16" i="19"/>
  <c r="BE16" i="19"/>
  <c r="BQ16" i="19" s="1"/>
  <c r="BC16" i="19"/>
  <c r="BB16" i="19"/>
  <c r="BA16" i="19"/>
  <c r="AZ16" i="19"/>
  <c r="AY16" i="19"/>
  <c r="AX16" i="19"/>
  <c r="AW16" i="19"/>
  <c r="AV16" i="19"/>
  <c r="AU16" i="19"/>
  <c r="AT16" i="19"/>
  <c r="AS16" i="19"/>
  <c r="AR16" i="19"/>
  <c r="BD16" i="19" s="1"/>
  <c r="AP16" i="19"/>
  <c r="AO16" i="19"/>
  <c r="AN16" i="19"/>
  <c r="AM16" i="19"/>
  <c r="AL16" i="19"/>
  <c r="AK16" i="19"/>
  <c r="AJ16" i="19"/>
  <c r="AI16" i="19"/>
  <c r="AH16" i="19"/>
  <c r="AG16" i="19"/>
  <c r="AF16" i="19"/>
  <c r="AE16" i="19"/>
  <c r="AQ16" i="19" s="1"/>
  <c r="AC16" i="19"/>
  <c r="AB16" i="19"/>
  <c r="AA16" i="19"/>
  <c r="Z16" i="19"/>
  <c r="Y16" i="19"/>
  <c r="X16" i="19"/>
  <c r="W16" i="19"/>
  <c r="V16" i="19"/>
  <c r="U16" i="19"/>
  <c r="T16" i="19"/>
  <c r="S16" i="19"/>
  <c r="R16" i="19"/>
  <c r="AD16" i="19" s="1"/>
  <c r="Q16" i="19"/>
  <c r="BP15" i="19"/>
  <c r="BO15" i="19"/>
  <c r="BN15" i="19"/>
  <c r="BM15" i="19"/>
  <c r="BQ15" i="19" s="1"/>
  <c r="BL15" i="19"/>
  <c r="BK15" i="19"/>
  <c r="BJ15" i="19"/>
  <c r="BI15" i="19"/>
  <c r="BH15" i="19"/>
  <c r="BG15" i="19"/>
  <c r="BF15" i="19"/>
  <c r="BE15" i="19"/>
  <c r="BC15" i="19"/>
  <c r="BB15" i="19"/>
  <c r="BA15" i="19"/>
  <c r="AZ15" i="19"/>
  <c r="AY15" i="19"/>
  <c r="AX15" i="19"/>
  <c r="AW15" i="19"/>
  <c r="AV15" i="19"/>
  <c r="AU15" i="19"/>
  <c r="AT15" i="19"/>
  <c r="AS15" i="19"/>
  <c r="AR15" i="19"/>
  <c r="BD15" i="19" s="1"/>
  <c r="AP15" i="19"/>
  <c r="AO15" i="19"/>
  <c r="AN15" i="19"/>
  <c r="AM15" i="19"/>
  <c r="AL15" i="19"/>
  <c r="AK15" i="19"/>
  <c r="AJ15" i="19"/>
  <c r="AI15" i="19"/>
  <c r="AH15" i="19"/>
  <c r="AG15" i="19"/>
  <c r="AF15" i="19"/>
  <c r="AE15" i="19"/>
  <c r="AQ15" i="19" s="1"/>
  <c r="AC15" i="19"/>
  <c r="AB15" i="19"/>
  <c r="AA15" i="19"/>
  <c r="Z15" i="19"/>
  <c r="Y15" i="19"/>
  <c r="X15" i="19"/>
  <c r="W15" i="19"/>
  <c r="V15" i="19"/>
  <c r="U15" i="19"/>
  <c r="T15" i="19"/>
  <c r="S15" i="19"/>
  <c r="R15" i="19"/>
  <c r="AD15" i="19" s="1"/>
  <c r="Q15" i="19"/>
  <c r="BP14" i="19"/>
  <c r="BO14" i="19"/>
  <c r="BN14" i="19"/>
  <c r="BM14" i="19"/>
  <c r="BL14" i="19"/>
  <c r="BK14" i="19"/>
  <c r="BJ14" i="19"/>
  <c r="BI14" i="19"/>
  <c r="BH14" i="19"/>
  <c r="BG14" i="19"/>
  <c r="BF14" i="19"/>
  <c r="BE14" i="19"/>
  <c r="BQ14" i="19" s="1"/>
  <c r="BC14" i="19"/>
  <c r="BB14" i="19"/>
  <c r="BA14" i="19"/>
  <c r="AZ14" i="19"/>
  <c r="AY14" i="19"/>
  <c r="AX14" i="19"/>
  <c r="AW14" i="19"/>
  <c r="AV14" i="19"/>
  <c r="AU14" i="19"/>
  <c r="AT14" i="19"/>
  <c r="AS14" i="19"/>
  <c r="AR14" i="19"/>
  <c r="BD14" i="19" s="1"/>
  <c r="AP14" i="19"/>
  <c r="AO14" i="19"/>
  <c r="AN14" i="19"/>
  <c r="AM14" i="19"/>
  <c r="AL14" i="19"/>
  <c r="AK14" i="19"/>
  <c r="AJ14" i="19"/>
  <c r="AI14" i="19"/>
  <c r="AH14" i="19"/>
  <c r="AG14" i="19"/>
  <c r="AF14" i="19"/>
  <c r="AE14" i="19"/>
  <c r="AQ14" i="19" s="1"/>
  <c r="AC14" i="19"/>
  <c r="AB14" i="19"/>
  <c r="AA14" i="19"/>
  <c r="Z14" i="19"/>
  <c r="Y14" i="19"/>
  <c r="X14" i="19"/>
  <c r="W14" i="19"/>
  <c r="V14" i="19"/>
  <c r="U14" i="19"/>
  <c r="T14" i="19"/>
  <c r="S14" i="19"/>
  <c r="R14" i="19"/>
  <c r="AD14" i="19" s="1"/>
  <c r="Q14" i="19"/>
  <c r="BP13" i="19"/>
  <c r="BO13" i="19"/>
  <c r="BN13" i="19"/>
  <c r="BM13" i="19"/>
  <c r="BL13" i="19"/>
  <c r="BK13" i="19"/>
  <c r="BJ13" i="19"/>
  <c r="BI13" i="19"/>
  <c r="BH13" i="19"/>
  <c r="BG13" i="19"/>
  <c r="BF13" i="19"/>
  <c r="BE13" i="19"/>
  <c r="BQ13" i="19" s="1"/>
  <c r="BC13" i="19"/>
  <c r="BB13" i="19"/>
  <c r="BA13" i="19"/>
  <c r="AZ13" i="19"/>
  <c r="AY13" i="19"/>
  <c r="AX13" i="19"/>
  <c r="AW13" i="19"/>
  <c r="AV13" i="19"/>
  <c r="AU13" i="19"/>
  <c r="AT13" i="19"/>
  <c r="AS13" i="19"/>
  <c r="AR13" i="19"/>
  <c r="BD13" i="19" s="1"/>
  <c r="AP13" i="19"/>
  <c r="AO13" i="19"/>
  <c r="AN13" i="19"/>
  <c r="AM13" i="19"/>
  <c r="AL13" i="19"/>
  <c r="AK13" i="19"/>
  <c r="AJ13" i="19"/>
  <c r="AI13" i="19"/>
  <c r="AH13" i="19"/>
  <c r="AG13" i="19"/>
  <c r="AF13" i="19"/>
  <c r="AE13" i="19"/>
  <c r="AQ13" i="19" s="1"/>
  <c r="AC13" i="19"/>
  <c r="AB13" i="19"/>
  <c r="AA13" i="19"/>
  <c r="Z13" i="19"/>
  <c r="Y13" i="19"/>
  <c r="X13" i="19"/>
  <c r="W13" i="19"/>
  <c r="V13" i="19"/>
  <c r="U13" i="19"/>
  <c r="T13" i="19"/>
  <c r="S13" i="19"/>
  <c r="R13" i="19"/>
  <c r="AD13" i="19" s="1"/>
  <c r="Q13" i="19"/>
  <c r="BP12" i="19"/>
  <c r="BO12" i="19"/>
  <c r="BN12" i="19"/>
  <c r="BM12" i="19"/>
  <c r="BL12" i="19"/>
  <c r="BK12" i="19"/>
  <c r="BJ12" i="19"/>
  <c r="BI12" i="19"/>
  <c r="BH12" i="19"/>
  <c r="BG12" i="19"/>
  <c r="BF12" i="19"/>
  <c r="BE12" i="19"/>
  <c r="BQ12" i="19" s="1"/>
  <c r="BC12" i="19"/>
  <c r="BB12" i="19"/>
  <c r="BA12" i="19"/>
  <c r="AZ12" i="19"/>
  <c r="AY12" i="19"/>
  <c r="AX12" i="19"/>
  <c r="AW12" i="19"/>
  <c r="AV12" i="19"/>
  <c r="AU12" i="19"/>
  <c r="AT12" i="19"/>
  <c r="AS12" i="19"/>
  <c r="AR12" i="19"/>
  <c r="BD12" i="19" s="1"/>
  <c r="AP12" i="19"/>
  <c r="AO12" i="19"/>
  <c r="AN12" i="19"/>
  <c r="AM12" i="19"/>
  <c r="AL12" i="19"/>
  <c r="AK12" i="19"/>
  <c r="AJ12" i="19"/>
  <c r="AI12" i="19"/>
  <c r="AH12" i="19"/>
  <c r="AG12" i="19"/>
  <c r="AF12" i="19"/>
  <c r="AE12" i="19"/>
  <c r="AQ12" i="19" s="1"/>
  <c r="AC12" i="19"/>
  <c r="AB12" i="19"/>
  <c r="AA12" i="19"/>
  <c r="Z12" i="19"/>
  <c r="Y12" i="19"/>
  <c r="X12" i="19"/>
  <c r="W12" i="19"/>
  <c r="V12" i="19"/>
  <c r="U12" i="19"/>
  <c r="T12" i="19"/>
  <c r="S12" i="19"/>
  <c r="R12" i="19"/>
  <c r="AD12" i="19" s="1"/>
  <c r="Q12" i="19"/>
  <c r="BP11" i="19"/>
  <c r="BO11" i="19"/>
  <c r="BN11" i="19"/>
  <c r="BM11" i="19"/>
  <c r="BL11" i="19"/>
  <c r="BK11" i="19"/>
  <c r="BJ11" i="19"/>
  <c r="BI11" i="19"/>
  <c r="BH11" i="19"/>
  <c r="BG11" i="19"/>
  <c r="BF11" i="19"/>
  <c r="BE11" i="19"/>
  <c r="BQ11" i="19" s="1"/>
  <c r="BC11" i="19"/>
  <c r="BB11" i="19"/>
  <c r="BA11" i="19"/>
  <c r="AZ11" i="19"/>
  <c r="AY11" i="19"/>
  <c r="AX11" i="19"/>
  <c r="AW11" i="19"/>
  <c r="AV11" i="19"/>
  <c r="AU11" i="19"/>
  <c r="AT11" i="19"/>
  <c r="AS11" i="19"/>
  <c r="AR11" i="19"/>
  <c r="BD11" i="19" s="1"/>
  <c r="AP11" i="19"/>
  <c r="AO11" i="19"/>
  <c r="AN11" i="19"/>
  <c r="AM11" i="19"/>
  <c r="AL11" i="19"/>
  <c r="AK11" i="19"/>
  <c r="AJ11" i="19"/>
  <c r="AI11" i="19"/>
  <c r="AH11" i="19"/>
  <c r="AG11" i="19"/>
  <c r="AF11" i="19"/>
  <c r="AE11" i="19"/>
  <c r="AQ11" i="19" s="1"/>
  <c r="AC11" i="19"/>
  <c r="AB11" i="19"/>
  <c r="AA11" i="19"/>
  <c r="Z11" i="19"/>
  <c r="Y11" i="19"/>
  <c r="X11" i="19"/>
  <c r="W11" i="19"/>
  <c r="V11" i="19"/>
  <c r="U11" i="19"/>
  <c r="T11" i="19"/>
  <c r="S11" i="19"/>
  <c r="R11" i="19"/>
  <c r="AD11" i="19" s="1"/>
  <c r="Q11" i="19"/>
  <c r="BP10" i="19"/>
  <c r="BO10" i="19"/>
  <c r="BN10" i="19"/>
  <c r="BQ10" i="19" s="1"/>
  <c r="BM10" i="19"/>
  <c r="BL10" i="19"/>
  <c r="BK10" i="19"/>
  <c r="BJ10" i="19"/>
  <c r="BI10" i="19"/>
  <c r="BH10" i="19"/>
  <c r="BG10" i="19"/>
  <c r="BF10" i="19"/>
  <c r="BE10" i="19"/>
  <c r="BC10" i="19"/>
  <c r="BB10" i="19"/>
  <c r="BA10" i="19"/>
  <c r="AZ10" i="19"/>
  <c r="AY10" i="19"/>
  <c r="AX10" i="19"/>
  <c r="AW10" i="19"/>
  <c r="AV10" i="19"/>
  <c r="AU10" i="19"/>
  <c r="AT10" i="19"/>
  <c r="AS10" i="19"/>
  <c r="AR10" i="19"/>
  <c r="BD10" i="19" s="1"/>
  <c r="AP10" i="19"/>
  <c r="AO10" i="19"/>
  <c r="AN10" i="19"/>
  <c r="AM10" i="19"/>
  <c r="AL10" i="19"/>
  <c r="AK10" i="19"/>
  <c r="AJ10" i="19"/>
  <c r="AI10" i="19"/>
  <c r="AH10" i="19"/>
  <c r="AG10" i="19"/>
  <c r="AF10" i="19"/>
  <c r="AE10" i="19"/>
  <c r="AQ10" i="19" s="1"/>
  <c r="AC10" i="19"/>
  <c r="AB10" i="19"/>
  <c r="AA10" i="19"/>
  <c r="Z10" i="19"/>
  <c r="Y10" i="19"/>
  <c r="X10" i="19"/>
  <c r="W10" i="19"/>
  <c r="V10" i="19"/>
  <c r="U10" i="19"/>
  <c r="T10" i="19"/>
  <c r="S10" i="19"/>
  <c r="R10" i="19"/>
  <c r="AD10" i="19" s="1"/>
  <c r="Q10" i="19"/>
  <c r="BP9" i="19"/>
  <c r="BO9" i="19"/>
  <c r="BN9" i="19"/>
  <c r="BM9" i="19"/>
  <c r="BL9" i="19"/>
  <c r="BK9" i="19"/>
  <c r="BJ9" i="19"/>
  <c r="BI9" i="19"/>
  <c r="BH9" i="19"/>
  <c r="BG9" i="19"/>
  <c r="BF9" i="19"/>
  <c r="BE9" i="19"/>
  <c r="BQ9" i="19" s="1"/>
  <c r="BC9" i="19"/>
  <c r="BB9" i="19"/>
  <c r="BA9" i="19"/>
  <c r="AZ9" i="19"/>
  <c r="AY9" i="19"/>
  <c r="AX9" i="19"/>
  <c r="AW9" i="19"/>
  <c r="AV9" i="19"/>
  <c r="AU9" i="19"/>
  <c r="AT9" i="19"/>
  <c r="AS9" i="19"/>
  <c r="AR9" i="19"/>
  <c r="BD9" i="19" s="1"/>
  <c r="AP9" i="19"/>
  <c r="AO9" i="19"/>
  <c r="AN9" i="19"/>
  <c r="AM9" i="19"/>
  <c r="AL9" i="19"/>
  <c r="AK9" i="19"/>
  <c r="AJ9" i="19"/>
  <c r="AI9" i="19"/>
  <c r="AH9" i="19"/>
  <c r="AG9" i="19"/>
  <c r="AF9" i="19"/>
  <c r="AE9" i="19"/>
  <c r="AQ9" i="19" s="1"/>
  <c r="AC9" i="19"/>
  <c r="AB9" i="19"/>
  <c r="AA9" i="19"/>
  <c r="Z9" i="19"/>
  <c r="Y9" i="19"/>
  <c r="X9" i="19"/>
  <c r="W9" i="19"/>
  <c r="V9" i="19"/>
  <c r="U9" i="19"/>
  <c r="T9" i="19"/>
  <c r="S9" i="19"/>
  <c r="R9" i="19"/>
  <c r="AD9" i="19" s="1"/>
  <c r="Q9" i="19"/>
  <c r="BP8" i="19"/>
  <c r="BO8" i="19"/>
  <c r="BN8" i="19"/>
  <c r="BM8" i="19"/>
  <c r="BL8" i="19"/>
  <c r="BK8" i="19"/>
  <c r="BJ8" i="19"/>
  <c r="BI8" i="19"/>
  <c r="BH8" i="19"/>
  <c r="BG8" i="19"/>
  <c r="BF8" i="19"/>
  <c r="BE8" i="19"/>
  <c r="BQ8" i="19" s="1"/>
  <c r="BC8" i="19"/>
  <c r="BB8" i="19"/>
  <c r="BA8" i="19"/>
  <c r="AZ8" i="19"/>
  <c r="AY8" i="19"/>
  <c r="AX8" i="19"/>
  <c r="AW8" i="19"/>
  <c r="AV8" i="19"/>
  <c r="AU8" i="19"/>
  <c r="AT8" i="19"/>
  <c r="AS8" i="19"/>
  <c r="AR8" i="19"/>
  <c r="BD8" i="19" s="1"/>
  <c r="AQ8" i="19"/>
  <c r="AD8" i="19"/>
  <c r="Q8" i="19"/>
  <c r="BP4" i="19"/>
  <c r="BO4" i="19"/>
  <c r="BN4" i="19"/>
  <c r="BM4" i="19"/>
  <c r="BL4" i="19"/>
  <c r="BK4" i="19"/>
  <c r="BJ4" i="19"/>
  <c r="BI4" i="19"/>
  <c r="BH4" i="19"/>
  <c r="BG4" i="19"/>
  <c r="BF4" i="19"/>
  <c r="BE4" i="19"/>
  <c r="BQ4" i="19" s="1"/>
  <c r="BC4" i="19"/>
  <c r="BB4" i="19"/>
  <c r="BA4" i="19"/>
  <c r="AZ4" i="19"/>
  <c r="AY4" i="19"/>
  <c r="AX4" i="19"/>
  <c r="AW4" i="19"/>
  <c r="AV4" i="19"/>
  <c r="AU4" i="19"/>
  <c r="AT4" i="19"/>
  <c r="AS4" i="19"/>
  <c r="AR4" i="19"/>
  <c r="BD4" i="19" s="1"/>
  <c r="AP4" i="19"/>
  <c r="AO4" i="19"/>
  <c r="AN4" i="19"/>
  <c r="AM4" i="19"/>
  <c r="AL4" i="19"/>
  <c r="AK4" i="19"/>
  <c r="AJ4" i="19"/>
  <c r="AI4" i="19"/>
  <c r="AH4" i="19"/>
  <c r="AG4" i="19"/>
  <c r="AF4" i="19"/>
  <c r="AE4" i="19"/>
  <c r="AQ4" i="19" s="1"/>
  <c r="AC4" i="19"/>
  <c r="AB4" i="19"/>
  <c r="AA4" i="19"/>
  <c r="Z4" i="19"/>
  <c r="Y4" i="19"/>
  <c r="X4" i="19"/>
  <c r="W4" i="19"/>
  <c r="V4" i="19"/>
  <c r="U4" i="19"/>
  <c r="T4" i="19"/>
  <c r="S4" i="19"/>
  <c r="R4" i="19"/>
  <c r="AD4" i="19" s="1"/>
  <c r="Q4" i="19"/>
  <c r="Q3" i="19"/>
  <c r="Q2" i="19"/>
  <c r="C2" i="1" l="1"/>
  <c r="C3" i="1"/>
  <c r="H4" i="13"/>
  <c r="H6" i="13" s="1"/>
  <c r="I4" i="13"/>
  <c r="I6" i="13" s="1"/>
  <c r="H5" i="13"/>
  <c r="I5" i="13"/>
  <c r="H7" i="13" l="1"/>
  <c r="I7" i="13"/>
  <c r="E36" i="16" l="1"/>
  <c r="D36" i="16"/>
  <c r="C36" i="16"/>
  <c r="C30" i="14" l="1"/>
  <c r="B10" i="8"/>
  <c r="C10" i="8"/>
  <c r="D10" i="8"/>
  <c r="E10" i="8"/>
  <c r="F10" i="8"/>
  <c r="G10" i="8"/>
  <c r="H10" i="8"/>
  <c r="I10" i="8"/>
  <c r="J10" i="8"/>
  <c r="K10" i="8"/>
  <c r="L10" i="8"/>
  <c r="M10" i="8"/>
  <c r="B11" i="8"/>
  <c r="C11" i="8"/>
  <c r="D11" i="8"/>
  <c r="E11" i="8"/>
  <c r="F11" i="8"/>
  <c r="G11" i="8"/>
  <c r="H11" i="8"/>
  <c r="I11" i="8"/>
  <c r="J11" i="8"/>
  <c r="K11" i="8"/>
  <c r="L11" i="8"/>
  <c r="M11" i="8"/>
  <c r="B13" i="8"/>
  <c r="C13" i="8"/>
  <c r="D13" i="8"/>
  <c r="E13" i="8"/>
  <c r="F13" i="8"/>
  <c r="G13" i="8"/>
  <c r="H13" i="8"/>
  <c r="I13" i="8"/>
  <c r="J13" i="8"/>
  <c r="K13" i="8"/>
  <c r="L13" i="8"/>
  <c r="M13" i="8"/>
  <c r="B15" i="8"/>
  <c r="C15" i="8"/>
  <c r="D15" i="8"/>
  <c r="E15" i="8"/>
  <c r="F15" i="8"/>
  <c r="G15" i="8"/>
  <c r="H15" i="8"/>
  <c r="I15" i="8"/>
  <c r="J15" i="8"/>
  <c r="K15" i="8"/>
  <c r="L15" i="8"/>
  <c r="M15" i="8"/>
  <c r="B16" i="8"/>
  <c r="C16" i="8"/>
  <c r="D16" i="8"/>
  <c r="E16" i="8"/>
  <c r="F16" i="8"/>
  <c r="G16" i="8"/>
  <c r="H16" i="8"/>
  <c r="I16" i="8"/>
  <c r="J16" i="8"/>
  <c r="K16" i="8"/>
  <c r="L16" i="8"/>
  <c r="M16" i="8"/>
  <c r="B18" i="8"/>
  <c r="C18" i="8"/>
  <c r="D18" i="8"/>
  <c r="E18" i="8"/>
  <c r="F18" i="8"/>
  <c r="G18" i="8"/>
  <c r="H18" i="8"/>
  <c r="I18" i="8"/>
  <c r="J18" i="8"/>
  <c r="K18" i="8"/>
  <c r="L18" i="8"/>
  <c r="M18" i="8"/>
  <c r="B20" i="8"/>
  <c r="C20" i="8"/>
  <c r="D20" i="8"/>
  <c r="E20" i="8"/>
  <c r="F20" i="8"/>
  <c r="G20" i="8"/>
  <c r="H20" i="8"/>
  <c r="I20" i="8"/>
  <c r="J20" i="8"/>
  <c r="K20" i="8"/>
  <c r="L20" i="8"/>
  <c r="M20" i="8"/>
  <c r="B21" i="8"/>
  <c r="C21" i="8"/>
  <c r="D21" i="8"/>
  <c r="E21" i="8"/>
  <c r="F21" i="8"/>
  <c r="G21" i="8"/>
  <c r="H21" i="8"/>
  <c r="I21" i="8"/>
  <c r="J21" i="8"/>
  <c r="K21" i="8"/>
  <c r="L21" i="8"/>
  <c r="M21" i="8"/>
  <c r="B23" i="8"/>
  <c r="C23" i="8"/>
  <c r="D23" i="8"/>
  <c r="E23" i="8"/>
  <c r="F23" i="8"/>
  <c r="G23" i="8"/>
  <c r="H23" i="8"/>
  <c r="I23" i="8"/>
  <c r="J23" i="8"/>
  <c r="K23" i="8"/>
  <c r="L23" i="8"/>
  <c r="M23" i="8"/>
  <c r="B24" i="8"/>
  <c r="C24" i="8"/>
  <c r="D24" i="8"/>
  <c r="E24" i="8"/>
  <c r="F24" i="8"/>
  <c r="G24" i="8"/>
  <c r="H24" i="8"/>
  <c r="I24" i="8"/>
  <c r="J24" i="8"/>
  <c r="K24" i="8"/>
  <c r="L24" i="8"/>
  <c r="M24" i="8"/>
  <c r="C25" i="8"/>
  <c r="D25" i="8"/>
  <c r="E25" i="8"/>
  <c r="F25" i="8"/>
  <c r="G25" i="8"/>
  <c r="H25" i="8"/>
  <c r="I25" i="8"/>
  <c r="J25" i="8"/>
  <c r="K25" i="8"/>
  <c r="L25" i="8"/>
  <c r="M25" i="8"/>
  <c r="B26" i="8"/>
  <c r="C26" i="8"/>
  <c r="D26" i="8"/>
  <c r="E26" i="8"/>
  <c r="F26" i="8"/>
  <c r="G26" i="8"/>
  <c r="H26" i="8"/>
  <c r="I26" i="8"/>
  <c r="J26" i="8"/>
  <c r="K26" i="8"/>
  <c r="L26" i="8"/>
  <c r="M26" i="8"/>
  <c r="C27" i="8"/>
  <c r="D27" i="8"/>
  <c r="E27" i="8"/>
  <c r="F27" i="8"/>
  <c r="G27" i="8"/>
  <c r="H27" i="8"/>
  <c r="I27" i="8"/>
  <c r="J27" i="8"/>
  <c r="K27" i="8"/>
  <c r="L27" i="8"/>
  <c r="M27" i="8"/>
  <c r="B28" i="8"/>
  <c r="C28" i="8"/>
  <c r="D28" i="8"/>
  <c r="E28" i="8"/>
  <c r="F28" i="8"/>
  <c r="G28" i="8"/>
  <c r="H28" i="8"/>
  <c r="I28" i="8"/>
  <c r="J28" i="8"/>
  <c r="K28" i="8"/>
  <c r="L28" i="8"/>
  <c r="M28" i="8"/>
  <c r="B29" i="8"/>
  <c r="C29" i="8"/>
  <c r="D29" i="8"/>
  <c r="E29" i="8"/>
  <c r="F29" i="8"/>
  <c r="G29" i="8"/>
  <c r="H29" i="8"/>
  <c r="I29" i="8"/>
  <c r="J29" i="8"/>
  <c r="K29" i="8"/>
  <c r="L29" i="8"/>
  <c r="M29" i="8"/>
  <c r="B30" i="8"/>
  <c r="C30" i="8"/>
  <c r="D30" i="8"/>
  <c r="E30" i="8"/>
  <c r="F30" i="8"/>
  <c r="G30" i="8"/>
  <c r="H30" i="8"/>
  <c r="I30" i="8"/>
  <c r="J30" i="8"/>
  <c r="K30" i="8"/>
  <c r="L30" i="8"/>
  <c r="M30" i="8"/>
  <c r="B31" i="8"/>
  <c r="C31" i="8"/>
  <c r="D31" i="8"/>
  <c r="E31" i="8"/>
  <c r="F31" i="8"/>
  <c r="G31" i="8"/>
  <c r="H31" i="8"/>
  <c r="I31" i="8"/>
  <c r="J31" i="8"/>
  <c r="K31" i="8"/>
  <c r="L31" i="8"/>
  <c r="M31" i="8"/>
  <c r="B32" i="8"/>
  <c r="C32" i="8"/>
  <c r="D32" i="8"/>
  <c r="E32" i="8"/>
  <c r="F32" i="8"/>
  <c r="G32" i="8"/>
  <c r="H32" i="8"/>
  <c r="I32" i="8"/>
  <c r="J32" i="8"/>
  <c r="K32" i="8"/>
  <c r="L32" i="8"/>
  <c r="M32" i="8"/>
  <c r="B33" i="8"/>
  <c r="C33" i="8"/>
  <c r="D33" i="8"/>
  <c r="E33" i="8"/>
  <c r="F33" i="8"/>
  <c r="G33" i="8"/>
  <c r="H33" i="8"/>
  <c r="I33" i="8"/>
  <c r="J33" i="8"/>
  <c r="K33" i="8"/>
  <c r="L33" i="8"/>
  <c r="M33" i="8"/>
  <c r="B34" i="8"/>
  <c r="C34" i="8"/>
  <c r="D34" i="8"/>
  <c r="E34" i="8"/>
  <c r="F34" i="8"/>
  <c r="G34" i="8"/>
  <c r="H34" i="8"/>
  <c r="I34" i="8"/>
  <c r="J34" i="8"/>
  <c r="K34" i="8"/>
  <c r="L34" i="8"/>
  <c r="M34" i="8"/>
  <c r="B35" i="8"/>
  <c r="C35" i="8"/>
  <c r="D35" i="8"/>
  <c r="E35" i="8"/>
  <c r="F35" i="8"/>
  <c r="G35" i="8"/>
  <c r="H35" i="8"/>
  <c r="I35" i="8"/>
  <c r="J35" i="8"/>
  <c r="K35" i="8"/>
  <c r="L35" i="8"/>
  <c r="M35" i="8"/>
  <c r="B36" i="8"/>
  <c r="C36" i="8"/>
  <c r="D36" i="8"/>
  <c r="E36" i="8"/>
  <c r="F36" i="8"/>
  <c r="G36" i="8"/>
  <c r="H36" i="8"/>
  <c r="I36" i="8"/>
  <c r="J36" i="8"/>
  <c r="K36" i="8"/>
  <c r="L36" i="8"/>
  <c r="M36" i="8"/>
  <c r="B37" i="8"/>
  <c r="C37" i="8"/>
  <c r="D37" i="8"/>
  <c r="E37" i="8"/>
  <c r="F37" i="8"/>
  <c r="G37" i="8"/>
  <c r="H37" i="8"/>
  <c r="I37" i="8"/>
  <c r="J37" i="8"/>
  <c r="K37" i="8"/>
  <c r="L37" i="8"/>
  <c r="M37" i="8"/>
  <c r="B38" i="8"/>
  <c r="C38" i="8"/>
  <c r="D38" i="8"/>
  <c r="E38" i="8"/>
  <c r="F38" i="8"/>
  <c r="G38" i="8"/>
  <c r="H38" i="8"/>
  <c r="I38" i="8"/>
  <c r="J38" i="8"/>
  <c r="K38" i="8"/>
  <c r="L38" i="8"/>
  <c r="M38" i="8"/>
  <c r="B39" i="8"/>
  <c r="C39" i="8"/>
  <c r="D39" i="8"/>
  <c r="E39" i="8"/>
  <c r="F39" i="8"/>
  <c r="G39" i="8"/>
  <c r="H39" i="8"/>
  <c r="I39" i="8"/>
  <c r="J39" i="8"/>
  <c r="K39" i="8"/>
  <c r="L39" i="8"/>
  <c r="M39" i="8"/>
  <c r="B40" i="8"/>
  <c r="C40" i="8"/>
  <c r="D40" i="8"/>
  <c r="E40" i="8"/>
  <c r="F40" i="8"/>
  <c r="G40" i="8"/>
  <c r="H40" i="8"/>
  <c r="I40" i="8"/>
  <c r="J40" i="8"/>
  <c r="K40" i="8"/>
  <c r="L40" i="8"/>
  <c r="M40" i="8"/>
  <c r="B41" i="8"/>
  <c r="C41" i="8"/>
  <c r="D41" i="8"/>
  <c r="E41" i="8"/>
  <c r="F41" i="8"/>
  <c r="G41" i="8"/>
  <c r="H41" i="8"/>
  <c r="I41" i="8"/>
  <c r="J41" i="8"/>
  <c r="K41" i="8"/>
  <c r="L41" i="8"/>
  <c r="M41" i="8"/>
  <c r="B42" i="8"/>
  <c r="C42" i="8"/>
  <c r="D42" i="8"/>
  <c r="E42" i="8"/>
  <c r="F42" i="8"/>
  <c r="G42" i="8"/>
  <c r="H42" i="8"/>
  <c r="I42" i="8"/>
  <c r="J42" i="8"/>
  <c r="K42" i="8"/>
  <c r="L42" i="8"/>
  <c r="M42" i="8"/>
  <c r="C6" i="8"/>
  <c r="D6" i="8"/>
  <c r="E6" i="8"/>
  <c r="F6" i="8"/>
  <c r="G6" i="8"/>
  <c r="H6" i="8"/>
  <c r="I6" i="8"/>
  <c r="J6" i="8"/>
  <c r="K6" i="8"/>
  <c r="L6" i="8"/>
  <c r="M6" i="8"/>
  <c r="B6" i="8"/>
  <c r="C3" i="8"/>
  <c r="D3" i="8"/>
  <c r="E3" i="8"/>
  <c r="F3" i="8"/>
  <c r="G3" i="8"/>
  <c r="H3" i="8"/>
  <c r="I3" i="8"/>
  <c r="J3" i="8"/>
  <c r="K3" i="8"/>
  <c r="L3" i="8"/>
  <c r="M3" i="8"/>
  <c r="B3" i="8"/>
  <c r="B4" i="8"/>
  <c r="AA15" i="5"/>
  <c r="AA5" i="5"/>
  <c r="AN5" i="5"/>
  <c r="AA4" i="5"/>
  <c r="AN4" i="5"/>
  <c r="AA2" i="5"/>
  <c r="AN2" i="5"/>
  <c r="AN21" i="3"/>
  <c r="AA21" i="3"/>
  <c r="N21" i="3"/>
  <c r="AA19" i="3"/>
  <c r="AN19" i="3"/>
  <c r="N17" i="3"/>
  <c r="AA17" i="3"/>
  <c r="AA16" i="3"/>
  <c r="AN16" i="3"/>
  <c r="O13" i="3"/>
  <c r="P13" i="3"/>
  <c r="Q13" i="3"/>
  <c r="R13" i="3"/>
  <c r="S13" i="3"/>
  <c r="T13" i="3"/>
  <c r="U13" i="3"/>
  <c r="V13" i="3"/>
  <c r="W13" i="3"/>
  <c r="X13" i="3"/>
  <c r="Y13" i="3"/>
  <c r="Z13" i="3"/>
  <c r="AB13" i="3"/>
  <c r="AC13" i="3"/>
  <c r="AD13" i="3"/>
  <c r="AE13" i="3"/>
  <c r="AF13" i="3"/>
  <c r="AG13" i="3"/>
  <c r="AH13" i="3"/>
  <c r="AI13" i="3"/>
  <c r="AJ13" i="3"/>
  <c r="AK13" i="3"/>
  <c r="AL13" i="3"/>
  <c r="AM13" i="3"/>
  <c r="C13" i="3"/>
  <c r="C12" i="8" s="1"/>
  <c r="D13" i="3"/>
  <c r="D12" i="8" s="1"/>
  <c r="E13" i="3"/>
  <c r="E12" i="8" s="1"/>
  <c r="F13" i="3"/>
  <c r="F12" i="8" s="1"/>
  <c r="G13" i="3"/>
  <c r="G12" i="8" s="1"/>
  <c r="H13" i="3"/>
  <c r="H12" i="8" s="1"/>
  <c r="I13" i="3"/>
  <c r="I12" i="8" s="1"/>
  <c r="J13" i="3"/>
  <c r="J12" i="8" s="1"/>
  <c r="K13" i="3"/>
  <c r="K12" i="8" s="1"/>
  <c r="L13" i="3"/>
  <c r="L12" i="8" s="1"/>
  <c r="M13" i="3"/>
  <c r="M12" i="8" s="1"/>
  <c r="B13" i="3"/>
  <c r="B12" i="8" s="1"/>
  <c r="D7" i="8"/>
  <c r="AB2" i="3"/>
  <c r="AB10" i="3" s="1"/>
  <c r="P2" i="3"/>
  <c r="P10" i="3" s="1"/>
  <c r="Q2" i="3"/>
  <c r="Q10" i="3" s="1"/>
  <c r="R2" i="3"/>
  <c r="R9" i="3" s="1"/>
  <c r="S2" i="3"/>
  <c r="S10" i="3" s="1"/>
  <c r="T2" i="3"/>
  <c r="T10" i="3" s="1"/>
  <c r="U2" i="3"/>
  <c r="U9" i="3" s="1"/>
  <c r="V2" i="3"/>
  <c r="V8" i="3" s="1"/>
  <c r="W2" i="3"/>
  <c r="X2" i="3"/>
  <c r="X9" i="3" s="1"/>
  <c r="Y2" i="3"/>
  <c r="Y8" i="3" s="1"/>
  <c r="Z2" i="3"/>
  <c r="Z8" i="3" s="1"/>
  <c r="O2" i="3"/>
  <c r="O9" i="3" s="1"/>
  <c r="C9" i="8"/>
  <c r="D9" i="8"/>
  <c r="E2" i="8"/>
  <c r="F9" i="8"/>
  <c r="G9" i="8"/>
  <c r="H9" i="8"/>
  <c r="I2" i="8"/>
  <c r="J9" i="8"/>
  <c r="K2" i="8"/>
  <c r="M8" i="8"/>
  <c r="B8" i="8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" i="1"/>
  <c r="AP4" i="4"/>
  <c r="AR4" i="4" s="1"/>
  <c r="AT4" i="4" s="1"/>
  <c r="AV4" i="4" s="1"/>
  <c r="AX4" i="4" s="1"/>
  <c r="AZ4" i="4" s="1"/>
  <c r="AP3" i="4"/>
  <c r="AR3" i="4" s="1"/>
  <c r="AT3" i="4" s="1"/>
  <c r="AV3" i="4" s="1"/>
  <c r="AX3" i="4" s="1"/>
  <c r="AZ3" i="4" s="1"/>
  <c r="AD2" i="4"/>
  <c r="AC2" i="3" s="1"/>
  <c r="O2" i="4"/>
  <c r="G36" i="16"/>
  <c r="F36" i="16"/>
  <c r="C29" i="16"/>
  <c r="D29" i="16"/>
  <c r="E29" i="16"/>
  <c r="F29" i="16"/>
  <c r="G29" i="16"/>
  <c r="B28" i="16"/>
  <c r="B16" i="16"/>
  <c r="C16" i="16" s="1"/>
  <c r="D16" i="16" s="1"/>
  <c r="S8" i="3" l="1"/>
  <c r="R10" i="3"/>
  <c r="O8" i="3"/>
  <c r="I9" i="8"/>
  <c r="R8" i="3"/>
  <c r="AN13" i="3"/>
  <c r="AB9" i="3"/>
  <c r="K9" i="8"/>
  <c r="C7" i="8"/>
  <c r="E9" i="8"/>
  <c r="X10" i="3"/>
  <c r="X8" i="3"/>
  <c r="V10" i="3"/>
  <c r="U10" i="3"/>
  <c r="AC10" i="3"/>
  <c r="AC9" i="3"/>
  <c r="AC8" i="3"/>
  <c r="C8" i="8"/>
  <c r="AE2" i="4"/>
  <c r="AB8" i="3"/>
  <c r="D8" i="8"/>
  <c r="Q8" i="3"/>
  <c r="D2" i="8"/>
  <c r="C2" i="8"/>
  <c r="B2" i="8"/>
  <c r="B9" i="8"/>
  <c r="O10" i="3"/>
  <c r="Q9" i="3"/>
  <c r="P9" i="3"/>
  <c r="B7" i="8"/>
  <c r="P8" i="3"/>
  <c r="AA13" i="3"/>
  <c r="M7" i="8"/>
  <c r="Y9" i="3"/>
  <c r="L2" i="8"/>
  <c r="K7" i="8"/>
  <c r="W8" i="3"/>
  <c r="K8" i="8"/>
  <c r="L9" i="8"/>
  <c r="Y10" i="3"/>
  <c r="Z9" i="3"/>
  <c r="L8" i="8"/>
  <c r="J8" i="8"/>
  <c r="J2" i="8"/>
  <c r="M2" i="8"/>
  <c r="L7" i="8"/>
  <c r="M9" i="8"/>
  <c r="Z10" i="3"/>
  <c r="J7" i="8"/>
  <c r="W9" i="3"/>
  <c r="I7" i="8"/>
  <c r="U8" i="3"/>
  <c r="I8" i="8"/>
  <c r="V9" i="3"/>
  <c r="W10" i="3"/>
  <c r="H7" i="8"/>
  <c r="T8" i="3"/>
  <c r="H8" i="8"/>
  <c r="H2" i="8"/>
  <c r="G7" i="8"/>
  <c r="G8" i="8"/>
  <c r="T9" i="3"/>
  <c r="G2" i="8"/>
  <c r="F7" i="8"/>
  <c r="F2" i="8"/>
  <c r="F8" i="8"/>
  <c r="S9" i="3"/>
  <c r="E7" i="8"/>
  <c r="E8" i="8"/>
  <c r="F16" i="16"/>
  <c r="G16" i="16" s="1"/>
  <c r="E10" i="9"/>
  <c r="F10" i="9"/>
  <c r="G10" i="9"/>
  <c r="H10" i="9"/>
  <c r="I10" i="9"/>
  <c r="F7" i="9"/>
  <c r="G7" i="9"/>
  <c r="H7" i="9"/>
  <c r="D10" i="9"/>
  <c r="D7" i="9"/>
  <c r="L4" i="3"/>
  <c r="L4" i="8" s="1"/>
  <c r="AA10" i="3" l="1"/>
  <c r="AA8" i="3"/>
  <c r="AA9" i="3"/>
  <c r="AF2" i="4"/>
  <c r="AD2" i="3"/>
  <c r="G11" i="9"/>
  <c r="I11" i="9"/>
  <c r="D11" i="9"/>
  <c r="H11" i="9"/>
  <c r="F11" i="9"/>
  <c r="C53" i="10" s="1"/>
  <c r="AG2" i="4" l="1"/>
  <c r="AE2" i="3"/>
  <c r="AD9" i="3"/>
  <c r="AD8" i="3"/>
  <c r="AD10" i="3"/>
  <c r="C16" i="14"/>
  <c r="B28" i="3"/>
  <c r="B27" i="8" s="1"/>
  <c r="B26" i="3"/>
  <c r="B25" i="8" s="1"/>
  <c r="C61" i="6"/>
  <c r="D61" i="6"/>
  <c r="E61" i="6"/>
  <c r="F61" i="6"/>
  <c r="G61" i="6"/>
  <c r="H61" i="6"/>
  <c r="I61" i="6"/>
  <c r="J61" i="6"/>
  <c r="K61" i="6"/>
  <c r="L61" i="6"/>
  <c r="M61" i="6"/>
  <c r="O61" i="6"/>
  <c r="P61" i="6"/>
  <c r="Q61" i="6"/>
  <c r="R61" i="6"/>
  <c r="S61" i="6"/>
  <c r="T61" i="6"/>
  <c r="U61" i="6"/>
  <c r="V61" i="6"/>
  <c r="W61" i="6"/>
  <c r="X61" i="6"/>
  <c r="Y61" i="6"/>
  <c r="Z61" i="6"/>
  <c r="AB61" i="6"/>
  <c r="AC61" i="6"/>
  <c r="AD61" i="6"/>
  <c r="AE61" i="6"/>
  <c r="AF61" i="6"/>
  <c r="AG61" i="6"/>
  <c r="AH61" i="6"/>
  <c r="AI61" i="6"/>
  <c r="AJ61" i="6"/>
  <c r="AK61" i="6"/>
  <c r="AL61" i="6"/>
  <c r="AM61" i="6"/>
  <c r="AO61" i="6"/>
  <c r="AP61" i="6"/>
  <c r="AQ61" i="6"/>
  <c r="AR61" i="6"/>
  <c r="AS61" i="6"/>
  <c r="AT61" i="6"/>
  <c r="AU61" i="6"/>
  <c r="AV61" i="6"/>
  <c r="AW61" i="6"/>
  <c r="AX61" i="6"/>
  <c r="AY61" i="6"/>
  <c r="AZ61" i="6"/>
  <c r="BB61" i="6"/>
  <c r="BC61" i="6"/>
  <c r="BD61" i="6"/>
  <c r="BE61" i="6"/>
  <c r="BF61" i="6"/>
  <c r="BG61" i="6"/>
  <c r="BH61" i="6"/>
  <c r="BI61" i="6"/>
  <c r="BJ61" i="6"/>
  <c r="BK61" i="6"/>
  <c r="BL61" i="6"/>
  <c r="BM61" i="6"/>
  <c r="B61" i="6"/>
  <c r="AE10" i="3" l="1"/>
  <c r="AE8" i="3"/>
  <c r="AE9" i="3"/>
  <c r="AH2" i="4"/>
  <c r="AF2" i="3"/>
  <c r="AA13" i="5"/>
  <c r="AN13" i="5"/>
  <c r="BA13" i="5"/>
  <c r="BN13" i="5"/>
  <c r="N13" i="5"/>
  <c r="F29" i="15"/>
  <c r="D29" i="15"/>
  <c r="Q8" i="15"/>
  <c r="Q9" i="15"/>
  <c r="Q10" i="15"/>
  <c r="Q11" i="15"/>
  <c r="Q12" i="15"/>
  <c r="Q14" i="15"/>
  <c r="Q15" i="15"/>
  <c r="Q16" i="15"/>
  <c r="H29" i="15"/>
  <c r="AN14" i="5" s="1"/>
  <c r="J29" i="15"/>
  <c r="BA14" i="5" s="1"/>
  <c r="L29" i="15"/>
  <c r="N29" i="15"/>
  <c r="P29" i="15"/>
  <c r="F30" i="15"/>
  <c r="H30" i="15"/>
  <c r="J30" i="15"/>
  <c r="L30" i="15"/>
  <c r="N30" i="15"/>
  <c r="P30" i="15"/>
  <c r="F31" i="15"/>
  <c r="AA14" i="5" s="1"/>
  <c r="H31" i="15"/>
  <c r="J31" i="15"/>
  <c r="L31" i="15"/>
  <c r="N31" i="15"/>
  <c r="P31" i="15"/>
  <c r="F32" i="15"/>
  <c r="H32" i="15"/>
  <c r="J32" i="15"/>
  <c r="L32" i="15"/>
  <c r="N32" i="15"/>
  <c r="P32" i="15"/>
  <c r="D32" i="15"/>
  <c r="D31" i="15"/>
  <c r="D30" i="15"/>
  <c r="AA10" i="5"/>
  <c r="O17" i="5"/>
  <c r="P17" i="5"/>
  <c r="Q17" i="5"/>
  <c r="R17" i="5"/>
  <c r="S17" i="5"/>
  <c r="T17" i="5"/>
  <c r="U17" i="5"/>
  <c r="V17" i="5"/>
  <c r="W17" i="5"/>
  <c r="X17" i="5"/>
  <c r="Y17" i="5"/>
  <c r="Z17" i="5"/>
  <c r="AA17" i="5"/>
  <c r="AB17" i="5"/>
  <c r="AC17" i="5"/>
  <c r="AD17" i="5"/>
  <c r="AE17" i="5"/>
  <c r="AF17" i="5"/>
  <c r="AG17" i="5"/>
  <c r="AH17" i="5"/>
  <c r="AI17" i="5"/>
  <c r="AJ17" i="5"/>
  <c r="AK17" i="5"/>
  <c r="AL17" i="5"/>
  <c r="AM17" i="5"/>
  <c r="AO17" i="5"/>
  <c r="AP17" i="5"/>
  <c r="AQ17" i="5"/>
  <c r="AR17" i="5"/>
  <c r="AS17" i="5"/>
  <c r="AT17" i="5"/>
  <c r="AU17" i="5"/>
  <c r="AV17" i="5"/>
  <c r="AW17" i="5"/>
  <c r="AX17" i="5"/>
  <c r="AY17" i="5"/>
  <c r="AZ17" i="5"/>
  <c r="BB17" i="5"/>
  <c r="BC17" i="5"/>
  <c r="BD17" i="5"/>
  <c r="BE17" i="5"/>
  <c r="BF17" i="5"/>
  <c r="BG17" i="5"/>
  <c r="BH17" i="5"/>
  <c r="BI17" i="5"/>
  <c r="BJ17" i="5"/>
  <c r="BK17" i="5"/>
  <c r="BL17" i="5"/>
  <c r="BM17" i="5"/>
  <c r="C17" i="5"/>
  <c r="D17" i="5"/>
  <c r="E17" i="5"/>
  <c r="F17" i="5"/>
  <c r="G17" i="5"/>
  <c r="H17" i="5"/>
  <c r="I17" i="5"/>
  <c r="J17" i="5"/>
  <c r="K17" i="5"/>
  <c r="L17" i="5"/>
  <c r="M17" i="5"/>
  <c r="N9" i="15"/>
  <c r="K8" i="15"/>
  <c r="H8" i="15"/>
  <c r="N8" i="15"/>
  <c r="H9" i="15"/>
  <c r="K9" i="15"/>
  <c r="H10" i="15"/>
  <c r="K10" i="15"/>
  <c r="N10" i="15"/>
  <c r="H11" i="15"/>
  <c r="K11" i="15"/>
  <c r="N11" i="15"/>
  <c r="H12" i="15"/>
  <c r="K12" i="15"/>
  <c r="N12" i="15"/>
  <c r="H13" i="15"/>
  <c r="K13" i="15"/>
  <c r="N13" i="15"/>
  <c r="H14" i="15"/>
  <c r="K14" i="15"/>
  <c r="N14" i="15"/>
  <c r="H15" i="15"/>
  <c r="K15" i="15"/>
  <c r="N15" i="15"/>
  <c r="H16" i="15"/>
  <c r="K16" i="15"/>
  <c r="N16" i="15"/>
  <c r="E16" i="15"/>
  <c r="E15" i="15"/>
  <c r="E14" i="15"/>
  <c r="E13" i="15"/>
  <c r="E12" i="15"/>
  <c r="E11" i="15"/>
  <c r="E10" i="15"/>
  <c r="E9" i="15"/>
  <c r="E7" i="9"/>
  <c r="E11" i="9" s="1"/>
  <c r="C12" i="10" s="1"/>
  <c r="C6" i="9"/>
  <c r="L5" i="8"/>
  <c r="B5" i="8"/>
  <c r="N3" i="8"/>
  <c r="N2" i="8"/>
  <c r="N6" i="8"/>
  <c r="N7" i="8"/>
  <c r="N8" i="8"/>
  <c r="N9" i="8"/>
  <c r="N10" i="8"/>
  <c r="N11" i="8"/>
  <c r="N12" i="8"/>
  <c r="N13" i="8"/>
  <c r="N15" i="8"/>
  <c r="N16" i="8"/>
  <c r="N18" i="8"/>
  <c r="N20" i="8"/>
  <c r="N21" i="8"/>
  <c r="N43" i="8"/>
  <c r="N42" i="8"/>
  <c r="N41" i="8"/>
  <c r="N40" i="8"/>
  <c r="N39" i="8"/>
  <c r="N38" i="8"/>
  <c r="N37" i="8"/>
  <c r="N36" i="8"/>
  <c r="N35" i="8"/>
  <c r="N34" i="8"/>
  <c r="N33" i="8"/>
  <c r="N32" i="8"/>
  <c r="N31" i="8"/>
  <c r="N30" i="8"/>
  <c r="N29" i="8"/>
  <c r="N28" i="8"/>
  <c r="N27" i="8"/>
  <c r="N26" i="8"/>
  <c r="N25" i="8"/>
  <c r="N24" i="8"/>
  <c r="N23" i="8"/>
  <c r="N14" i="5" l="1"/>
  <c r="BN14" i="5"/>
  <c r="AI2" i="4"/>
  <c r="AG2" i="3"/>
  <c r="AF10" i="3"/>
  <c r="AF9" i="3"/>
  <c r="AF8" i="3"/>
  <c r="H17" i="15"/>
  <c r="AA9" i="5" s="1"/>
  <c r="N17" i="15"/>
  <c r="BA9" i="5" s="1"/>
  <c r="K17" i="15"/>
  <c r="AG10" i="3" l="1"/>
  <c r="AG9" i="3"/>
  <c r="AG8" i="3"/>
  <c r="AJ2" i="4"/>
  <c r="AH2" i="3"/>
  <c r="C16" i="10"/>
  <c r="C34" i="10"/>
  <c r="AN9" i="5"/>
  <c r="E21" i="10" l="1"/>
  <c r="E22" i="10"/>
  <c r="E37" i="10"/>
  <c r="D34" i="10"/>
  <c r="F34" i="10" s="1"/>
  <c r="E39" i="10"/>
  <c r="E38" i="10"/>
  <c r="E40" i="10"/>
  <c r="E45" i="10"/>
  <c r="E41" i="10"/>
  <c r="E42" i="10"/>
  <c r="E44" i="10"/>
  <c r="E43" i="10"/>
  <c r="AK2" i="4"/>
  <c r="AI2" i="3"/>
  <c r="AH10" i="3"/>
  <c r="AH9" i="3"/>
  <c r="AH8" i="3"/>
  <c r="E16" i="10"/>
  <c r="C17" i="10" s="1"/>
  <c r="C24" i="12"/>
  <c r="D16" i="10"/>
  <c r="E20" i="10"/>
  <c r="E19" i="10"/>
  <c r="E18" i="10"/>
  <c r="E17" i="10"/>
  <c r="C33" i="14"/>
  <c r="E60" i="10"/>
  <c r="E66" i="10"/>
  <c r="E63" i="10"/>
  <c r="C60" i="10"/>
  <c r="E62" i="10"/>
  <c r="E65" i="10"/>
  <c r="E61" i="10"/>
  <c r="E64" i="10"/>
  <c r="F16" i="10" l="1"/>
  <c r="AI10" i="3"/>
  <c r="AI9" i="3"/>
  <c r="AI8" i="3"/>
  <c r="AL2" i="4"/>
  <c r="AJ2" i="3"/>
  <c r="E46" i="10"/>
  <c r="D17" i="10"/>
  <c r="D24" i="12"/>
  <c r="C18" i="10"/>
  <c r="E24" i="12" s="1"/>
  <c r="E23" i="10"/>
  <c r="N18" i="5"/>
  <c r="H18" i="5" s="1"/>
  <c r="C35" i="10"/>
  <c r="E67" i="10"/>
  <c r="C18" i="12"/>
  <c r="D60" i="10"/>
  <c r="C61" i="10"/>
  <c r="F17" i="10" l="1"/>
  <c r="AJ10" i="3"/>
  <c r="AJ9" i="3"/>
  <c r="AJ8" i="3"/>
  <c r="AM2" i="4"/>
  <c r="AK2" i="3"/>
  <c r="C19" i="10"/>
  <c r="D19" i="10" s="1"/>
  <c r="D18" i="10"/>
  <c r="L18" i="5"/>
  <c r="J18" i="5"/>
  <c r="M18" i="5"/>
  <c r="K18" i="5"/>
  <c r="I18" i="5"/>
  <c r="C36" i="10"/>
  <c r="D35" i="10"/>
  <c r="D18" i="12"/>
  <c r="D61" i="10"/>
  <c r="C62" i="10"/>
  <c r="N19" i="5"/>
  <c r="F60" i="10"/>
  <c r="C15" i="11"/>
  <c r="F18" i="10" l="1"/>
  <c r="AK9" i="3"/>
  <c r="AK8" i="3"/>
  <c r="AK10" i="3"/>
  <c r="AN2" i="4"/>
  <c r="AL2" i="3"/>
  <c r="AA18" i="5"/>
  <c r="X18" i="5" s="1"/>
  <c r="C20" i="10"/>
  <c r="C21" i="10" s="1"/>
  <c r="F35" i="10"/>
  <c r="C37" i="10"/>
  <c r="D36" i="10"/>
  <c r="C34" i="14"/>
  <c r="C36" i="14" s="1"/>
  <c r="G60" i="10"/>
  <c r="E18" i="12"/>
  <c r="C63" i="10"/>
  <c r="D62" i="10"/>
  <c r="C16" i="11"/>
  <c r="C15" i="14"/>
  <c r="E19" i="5"/>
  <c r="I19" i="5"/>
  <c r="I24" i="5" s="1"/>
  <c r="M19" i="5"/>
  <c r="M24" i="5" s="1"/>
  <c r="J19" i="5"/>
  <c r="J24" i="5" s="1"/>
  <c r="D19" i="5"/>
  <c r="L19" i="5"/>
  <c r="L24" i="5" s="1"/>
  <c r="C19" i="5"/>
  <c r="G19" i="5"/>
  <c r="K19" i="5"/>
  <c r="K24" i="5" s="1"/>
  <c r="F19" i="5"/>
  <c r="B19" i="5"/>
  <c r="H19" i="5"/>
  <c r="H24" i="5" s="1"/>
  <c r="AA19" i="5"/>
  <c r="F61" i="10"/>
  <c r="D15" i="11"/>
  <c r="F19" i="10"/>
  <c r="D21" i="10" l="1"/>
  <c r="F21" i="10" s="1"/>
  <c r="C22" i="10"/>
  <c r="D22" i="10" s="1"/>
  <c r="F22" i="10" s="1"/>
  <c r="AL8" i="3"/>
  <c r="AL10" i="3"/>
  <c r="AL9" i="3"/>
  <c r="D20" i="10"/>
  <c r="F20" i="10" s="1"/>
  <c r="AP2" i="4"/>
  <c r="AR2" i="4" s="1"/>
  <c r="AT2" i="4" s="1"/>
  <c r="AV2" i="4" s="1"/>
  <c r="AX2" i="4" s="1"/>
  <c r="AZ2" i="4" s="1"/>
  <c r="AM2" i="3"/>
  <c r="S18" i="5"/>
  <c r="O18" i="5"/>
  <c r="Y18" i="5"/>
  <c r="V18" i="5"/>
  <c r="P18" i="5"/>
  <c r="R18" i="5"/>
  <c r="U18" i="5"/>
  <c r="Z18" i="5"/>
  <c r="T18" i="5"/>
  <c r="Q18" i="5"/>
  <c r="W18" i="5"/>
  <c r="C38" i="10"/>
  <c r="D38" i="10" s="1"/>
  <c r="D37" i="10"/>
  <c r="AN18" i="5"/>
  <c r="F36" i="10"/>
  <c r="G61" i="10"/>
  <c r="D34" i="14"/>
  <c r="D36" i="14" s="1"/>
  <c r="F18" i="12"/>
  <c r="D63" i="10"/>
  <c r="C64" i="10"/>
  <c r="D16" i="11"/>
  <c r="D15" i="14"/>
  <c r="S19" i="5"/>
  <c r="W19" i="5"/>
  <c r="Z19" i="5"/>
  <c r="R19" i="5"/>
  <c r="V19" i="5"/>
  <c r="X19" i="5"/>
  <c r="X24" i="5" s="1"/>
  <c r="Q19" i="5"/>
  <c r="U19" i="5"/>
  <c r="Y19" i="5"/>
  <c r="P19" i="5"/>
  <c r="T19" i="5"/>
  <c r="O19" i="5"/>
  <c r="AN19" i="5"/>
  <c r="F62" i="10"/>
  <c r="E15" i="11"/>
  <c r="E15" i="14" s="1"/>
  <c r="E16" i="11"/>
  <c r="T24" i="5" l="1"/>
  <c r="Z24" i="5"/>
  <c r="W24" i="5"/>
  <c r="U24" i="5"/>
  <c r="V24" i="5"/>
  <c r="R24" i="5"/>
  <c r="P24" i="5"/>
  <c r="AM10" i="3"/>
  <c r="AN10" i="3" s="1"/>
  <c r="AM9" i="3"/>
  <c r="AN9" i="3" s="1"/>
  <c r="AM8" i="3"/>
  <c r="AN8" i="3" s="1"/>
  <c r="S24" i="5"/>
  <c r="Y24" i="5"/>
  <c r="Q24" i="5"/>
  <c r="O24" i="5"/>
  <c r="AB18" i="5"/>
  <c r="AG18" i="5"/>
  <c r="AJ18" i="5"/>
  <c r="AM18" i="5"/>
  <c r="AE18" i="5"/>
  <c r="AH18" i="5"/>
  <c r="AK18" i="5"/>
  <c r="AC18" i="5"/>
  <c r="AF18" i="5"/>
  <c r="AI18" i="5"/>
  <c r="AL18" i="5"/>
  <c r="AD18" i="5"/>
  <c r="C39" i="10"/>
  <c r="D39" i="10" s="1"/>
  <c r="F37" i="10"/>
  <c r="BA18" i="5"/>
  <c r="G62" i="10"/>
  <c r="E34" i="14"/>
  <c r="E36" i="14" s="1"/>
  <c r="G18" i="12"/>
  <c r="C65" i="10"/>
  <c r="D64" i="10"/>
  <c r="AD19" i="5"/>
  <c r="AH19" i="5"/>
  <c r="AL19" i="5"/>
  <c r="AC19" i="5"/>
  <c r="AG19" i="5"/>
  <c r="AK19" i="5"/>
  <c r="AF19" i="5"/>
  <c r="AJ19" i="5"/>
  <c r="AB19" i="5"/>
  <c r="AE19" i="5"/>
  <c r="AI19" i="5"/>
  <c r="AM19" i="5"/>
  <c r="BA19" i="5"/>
  <c r="F63" i="10"/>
  <c r="F15" i="11"/>
  <c r="D23" i="10"/>
  <c r="AE24" i="5" l="1"/>
  <c r="AG24" i="5"/>
  <c r="AJ24" i="5"/>
  <c r="AD24" i="5"/>
  <c r="AI24" i="5"/>
  <c r="AK24" i="5"/>
  <c r="AM24" i="5"/>
  <c r="AC24" i="5"/>
  <c r="AH24" i="5"/>
  <c r="F23" i="10"/>
  <c r="F38" i="10"/>
  <c r="BN18" i="5"/>
  <c r="AB24" i="5"/>
  <c r="AF24" i="5"/>
  <c r="AL24" i="5"/>
  <c r="AR18" i="5"/>
  <c r="AV18" i="5"/>
  <c r="AO18" i="5"/>
  <c r="AQ18" i="5"/>
  <c r="AU18" i="5"/>
  <c r="AY18" i="5"/>
  <c r="AP18" i="5"/>
  <c r="AT18" i="5"/>
  <c r="AX18" i="5"/>
  <c r="AZ18" i="5"/>
  <c r="AS18" i="5"/>
  <c r="AW18" i="5"/>
  <c r="C40" i="10"/>
  <c r="G63" i="10"/>
  <c r="F34" i="14"/>
  <c r="F36" i="14" s="1"/>
  <c r="C66" i="10"/>
  <c r="D65" i="10"/>
  <c r="F16" i="11"/>
  <c r="F15" i="14"/>
  <c r="AS19" i="5"/>
  <c r="AW19" i="5"/>
  <c r="AO19" i="5"/>
  <c r="AR19" i="5"/>
  <c r="AV19" i="5"/>
  <c r="AZ19" i="5"/>
  <c r="AQ19" i="5"/>
  <c r="AU19" i="5"/>
  <c r="AY19" i="5"/>
  <c r="AP19" i="5"/>
  <c r="AT19" i="5"/>
  <c r="AX19" i="5"/>
  <c r="BN19" i="5"/>
  <c r="G15" i="11"/>
  <c r="F64" i="10"/>
  <c r="AP24" i="5" l="1"/>
  <c r="AQ24" i="5"/>
  <c r="AX24" i="5"/>
  <c r="AV24" i="5"/>
  <c r="AT24" i="5"/>
  <c r="AY24" i="5"/>
  <c r="AU24" i="5"/>
  <c r="AR24" i="5"/>
  <c r="D40" i="10"/>
  <c r="F40" i="10" s="1"/>
  <c r="C41" i="10"/>
  <c r="AZ24" i="5"/>
  <c r="AW24" i="5"/>
  <c r="F39" i="10"/>
  <c r="AO24" i="5"/>
  <c r="AS24" i="5"/>
  <c r="BC18" i="5"/>
  <c r="BG18" i="5"/>
  <c r="BK18" i="5"/>
  <c r="BD18" i="5"/>
  <c r="BH18" i="5"/>
  <c r="BL18" i="5"/>
  <c r="BE18" i="5"/>
  <c r="BI18" i="5"/>
  <c r="BM18" i="5"/>
  <c r="BF18" i="5"/>
  <c r="BJ18" i="5"/>
  <c r="BB18" i="5"/>
  <c r="G16" i="11"/>
  <c r="G15" i="14"/>
  <c r="D66" i="10"/>
  <c r="G34" i="14"/>
  <c r="G36" i="14" s="1"/>
  <c r="G64" i="10"/>
  <c r="BF19" i="5"/>
  <c r="BJ19" i="5"/>
  <c r="BB19" i="5"/>
  <c r="BE19" i="5"/>
  <c r="BI19" i="5"/>
  <c r="BM19" i="5"/>
  <c r="BD19" i="5"/>
  <c r="BH19" i="5"/>
  <c r="BL19" i="5"/>
  <c r="BC19" i="5"/>
  <c r="BG19" i="5"/>
  <c r="BK19" i="5"/>
  <c r="F65" i="10"/>
  <c r="D67" i="10"/>
  <c r="C42" i="10" l="1"/>
  <c r="D41" i="10"/>
  <c r="F41" i="10" s="1"/>
  <c r="BK24" i="5"/>
  <c r="BC24" i="5"/>
  <c r="BH24" i="5"/>
  <c r="BM24" i="5"/>
  <c r="BE24" i="5"/>
  <c r="BJ24" i="5"/>
  <c r="BG24" i="5"/>
  <c r="BL24" i="5"/>
  <c r="BD24" i="5"/>
  <c r="BI24" i="5"/>
  <c r="BB24" i="5"/>
  <c r="BF24" i="5"/>
  <c r="H15" i="14"/>
  <c r="G65" i="10"/>
  <c r="H34" i="14"/>
  <c r="H36" i="14" s="1"/>
  <c r="F66" i="10"/>
  <c r="C43" i="10" l="1"/>
  <c r="D42" i="10"/>
  <c r="F42" i="10" s="1"/>
  <c r="G66" i="10"/>
  <c r="G67" i="10" s="1"/>
  <c r="I34" i="14"/>
  <c r="I36" i="14" s="1"/>
  <c r="F67" i="10"/>
  <c r="I15" i="14"/>
  <c r="C44" i="10" l="1"/>
  <c r="D43" i="10"/>
  <c r="F43" i="10" s="1"/>
  <c r="C45" i="10" l="1"/>
  <c r="D45" i="10" s="1"/>
  <c r="D44" i="10"/>
  <c r="F44" i="10" s="1"/>
  <c r="BN3" i="6"/>
  <c r="BN4" i="6"/>
  <c r="BN5" i="6"/>
  <c r="BN6" i="6"/>
  <c r="BN7" i="6"/>
  <c r="BN8" i="6"/>
  <c r="BN9" i="6"/>
  <c r="BN10" i="6"/>
  <c r="BN11" i="6"/>
  <c r="BN12" i="6"/>
  <c r="BN13" i="6"/>
  <c r="BN14" i="6"/>
  <c r="BN15" i="6"/>
  <c r="BN16" i="6"/>
  <c r="BN17" i="6"/>
  <c r="BN18" i="6"/>
  <c r="BN19" i="6"/>
  <c r="BN20" i="6"/>
  <c r="BN21" i="6"/>
  <c r="BN22" i="6"/>
  <c r="BN23" i="6"/>
  <c r="BN24" i="6"/>
  <c r="BN25" i="6"/>
  <c r="BN26" i="6"/>
  <c r="BN27" i="6"/>
  <c r="BN28" i="6"/>
  <c r="BN29" i="6"/>
  <c r="BN30" i="6"/>
  <c r="BN31" i="6"/>
  <c r="BN32" i="6"/>
  <c r="BN33" i="6"/>
  <c r="BN34" i="6"/>
  <c r="BN35" i="6"/>
  <c r="BN36" i="6"/>
  <c r="BN37" i="6"/>
  <c r="BN38" i="6"/>
  <c r="BN39" i="6"/>
  <c r="BN40" i="6"/>
  <c r="BN41" i="6"/>
  <c r="BN42" i="6"/>
  <c r="BN43" i="6"/>
  <c r="BN44" i="6"/>
  <c r="BN45" i="6"/>
  <c r="BN46" i="6"/>
  <c r="BN47" i="6"/>
  <c r="BN48" i="6"/>
  <c r="BN49" i="6"/>
  <c r="BN50" i="6"/>
  <c r="BN51" i="6"/>
  <c r="BN52" i="6"/>
  <c r="BN53" i="6"/>
  <c r="BN54" i="6"/>
  <c r="BN55" i="6"/>
  <c r="BN56" i="6"/>
  <c r="BN57" i="6"/>
  <c r="BN58" i="6"/>
  <c r="BN59" i="6"/>
  <c r="BN60" i="6"/>
  <c r="BA3" i="6"/>
  <c r="BA4" i="6"/>
  <c r="BA5" i="6"/>
  <c r="BA6" i="6"/>
  <c r="BA7" i="6"/>
  <c r="BA8" i="6"/>
  <c r="BA9" i="6"/>
  <c r="BA10" i="6"/>
  <c r="BA11" i="6"/>
  <c r="BA12" i="6"/>
  <c r="BA13" i="6"/>
  <c r="BA14" i="6"/>
  <c r="BA15" i="6"/>
  <c r="BA16" i="6"/>
  <c r="BA17" i="6"/>
  <c r="BA18" i="6"/>
  <c r="BA19" i="6"/>
  <c r="BA20" i="6"/>
  <c r="BA21" i="6"/>
  <c r="BA22" i="6"/>
  <c r="BA23" i="6"/>
  <c r="BA24" i="6"/>
  <c r="BA25" i="6"/>
  <c r="BA26" i="6"/>
  <c r="BA27" i="6"/>
  <c r="BA28" i="6"/>
  <c r="BA29" i="6"/>
  <c r="BA30" i="6"/>
  <c r="BA31" i="6"/>
  <c r="BA32" i="6"/>
  <c r="BA33" i="6"/>
  <c r="BA34" i="6"/>
  <c r="BA35" i="6"/>
  <c r="BA36" i="6"/>
  <c r="BA37" i="6"/>
  <c r="BA38" i="6"/>
  <c r="BA39" i="6"/>
  <c r="BA40" i="6"/>
  <c r="BA41" i="6"/>
  <c r="BA42" i="6"/>
  <c r="BA43" i="6"/>
  <c r="BA44" i="6"/>
  <c r="BA45" i="6"/>
  <c r="BA46" i="6"/>
  <c r="BA47" i="6"/>
  <c r="BA48" i="6"/>
  <c r="BA49" i="6"/>
  <c r="BA50" i="6"/>
  <c r="BA51" i="6"/>
  <c r="BA52" i="6"/>
  <c r="BA53" i="6"/>
  <c r="BA54" i="6"/>
  <c r="BA55" i="6"/>
  <c r="BA56" i="6"/>
  <c r="BA57" i="6"/>
  <c r="BA58" i="6"/>
  <c r="BA59" i="6"/>
  <c r="BA60" i="6"/>
  <c r="AN3" i="6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N33" i="6"/>
  <c r="AN34" i="6"/>
  <c r="AN35" i="6"/>
  <c r="AN36" i="6"/>
  <c r="AN37" i="6"/>
  <c r="AN38" i="6"/>
  <c r="AN39" i="6"/>
  <c r="AN40" i="6"/>
  <c r="AN41" i="6"/>
  <c r="AN42" i="6"/>
  <c r="AN43" i="6"/>
  <c r="AN44" i="6"/>
  <c r="AN45" i="6"/>
  <c r="AN46" i="6"/>
  <c r="AN47" i="6"/>
  <c r="AN48" i="6"/>
  <c r="AN49" i="6"/>
  <c r="AN50" i="6"/>
  <c r="AN51" i="6"/>
  <c r="AN52" i="6"/>
  <c r="AN53" i="6"/>
  <c r="AN54" i="6"/>
  <c r="AN55" i="6"/>
  <c r="AN56" i="6"/>
  <c r="AN57" i="6"/>
  <c r="AN58" i="6"/>
  <c r="AN59" i="6"/>
  <c r="AN60" i="6"/>
  <c r="AA3" i="6"/>
  <c r="AA4" i="6"/>
  <c r="AA5" i="6"/>
  <c r="AA6" i="6"/>
  <c r="AA7" i="6"/>
  <c r="AA8" i="6"/>
  <c r="AA9" i="6"/>
  <c r="AA10" i="6"/>
  <c r="AA11" i="6"/>
  <c r="AA12" i="6"/>
  <c r="AA13" i="6"/>
  <c r="AA14" i="6"/>
  <c r="AA15" i="6"/>
  <c r="AA16" i="6"/>
  <c r="AA17" i="6"/>
  <c r="AA18" i="6"/>
  <c r="AA19" i="6"/>
  <c r="AA20" i="6"/>
  <c r="AA21" i="6"/>
  <c r="AA22" i="6"/>
  <c r="AA23" i="6"/>
  <c r="AA24" i="6"/>
  <c r="AA25" i="6"/>
  <c r="AA26" i="6"/>
  <c r="AA27" i="6"/>
  <c r="AA28" i="6"/>
  <c r="AA29" i="6"/>
  <c r="AA30" i="6"/>
  <c r="AA31" i="6"/>
  <c r="AA32" i="6"/>
  <c r="AA33" i="6"/>
  <c r="AA34" i="6"/>
  <c r="AA35" i="6"/>
  <c r="AA36" i="6"/>
  <c r="AA37" i="6"/>
  <c r="AA38" i="6"/>
  <c r="AA39" i="6"/>
  <c r="AA40" i="6"/>
  <c r="AA41" i="6"/>
  <c r="AA42" i="6"/>
  <c r="AA43" i="6"/>
  <c r="AA44" i="6"/>
  <c r="AA45" i="6"/>
  <c r="AA46" i="6"/>
  <c r="AA47" i="6"/>
  <c r="AA48" i="6"/>
  <c r="AA49" i="6"/>
  <c r="AA50" i="6"/>
  <c r="AA51" i="6"/>
  <c r="AA52" i="6"/>
  <c r="AA53" i="6"/>
  <c r="AA54" i="6"/>
  <c r="AA55" i="6"/>
  <c r="AA56" i="6"/>
  <c r="AA57" i="6"/>
  <c r="AA58" i="6"/>
  <c r="AA59" i="6"/>
  <c r="AA60" i="6"/>
  <c r="N3" i="6"/>
  <c r="N4" i="6"/>
  <c r="N5" i="6"/>
  <c r="N6" i="6"/>
  <c r="N7" i="6"/>
  <c r="N8" i="6"/>
  <c r="N9" i="6"/>
  <c r="N10" i="6"/>
  <c r="N11" i="6"/>
  <c r="N12" i="6"/>
  <c r="N13" i="6"/>
  <c r="N14" i="6"/>
  <c r="N15" i="6"/>
  <c r="N16" i="6"/>
  <c r="N17" i="6"/>
  <c r="N18" i="6"/>
  <c r="N19" i="6"/>
  <c r="N20" i="6"/>
  <c r="N21" i="6"/>
  <c r="N22" i="6"/>
  <c r="N23" i="6"/>
  <c r="N24" i="6"/>
  <c r="N25" i="6"/>
  <c r="N26" i="6"/>
  <c r="N27" i="6"/>
  <c r="N28" i="6"/>
  <c r="N29" i="6"/>
  <c r="N30" i="6"/>
  <c r="N31" i="6"/>
  <c r="N32" i="6"/>
  <c r="N33" i="6"/>
  <c r="N34" i="6"/>
  <c r="N35" i="6"/>
  <c r="N36" i="6"/>
  <c r="N37" i="6"/>
  <c r="N38" i="6"/>
  <c r="N39" i="6"/>
  <c r="N40" i="6"/>
  <c r="N41" i="6"/>
  <c r="N42" i="6"/>
  <c r="N43" i="6"/>
  <c r="N44" i="6"/>
  <c r="N45" i="6"/>
  <c r="N46" i="6"/>
  <c r="N47" i="6"/>
  <c r="N48" i="6"/>
  <c r="N49" i="6"/>
  <c r="N50" i="6"/>
  <c r="N51" i="6"/>
  <c r="N52" i="6"/>
  <c r="N53" i="6"/>
  <c r="N54" i="6"/>
  <c r="N55" i="6"/>
  <c r="N56" i="6"/>
  <c r="N57" i="6"/>
  <c r="N58" i="6"/>
  <c r="N59" i="6"/>
  <c r="N60" i="6"/>
  <c r="BN2" i="6"/>
  <c r="BA2" i="6"/>
  <c r="AN2" i="6"/>
  <c r="AA2" i="6"/>
  <c r="N2" i="6"/>
  <c r="N20" i="5"/>
  <c r="N21" i="5"/>
  <c r="N22" i="5"/>
  <c r="N23" i="5"/>
  <c r="P5" i="3"/>
  <c r="Q5" i="3"/>
  <c r="R5" i="3"/>
  <c r="S5" i="3"/>
  <c r="T5" i="3"/>
  <c r="U5" i="3"/>
  <c r="V5" i="3"/>
  <c r="W5" i="3"/>
  <c r="X5" i="3"/>
  <c r="Y5" i="3"/>
  <c r="Z5" i="3"/>
  <c r="AC5" i="3"/>
  <c r="AD5" i="3"/>
  <c r="AE5" i="3"/>
  <c r="AF5" i="3"/>
  <c r="AG5" i="3"/>
  <c r="AH5" i="3"/>
  <c r="AI5" i="3"/>
  <c r="AJ5" i="3"/>
  <c r="AK5" i="3"/>
  <c r="AL5" i="3"/>
  <c r="AM5" i="3"/>
  <c r="AP5" i="3"/>
  <c r="AQ5" i="3"/>
  <c r="AR5" i="3"/>
  <c r="AS5" i="3"/>
  <c r="AT5" i="3"/>
  <c r="AU5" i="3"/>
  <c r="AV5" i="3"/>
  <c r="AW5" i="3"/>
  <c r="AX5" i="3"/>
  <c r="AY5" i="3"/>
  <c r="AZ5" i="3"/>
  <c r="BC5" i="3"/>
  <c r="BD5" i="3"/>
  <c r="BE5" i="3"/>
  <c r="BF5" i="3"/>
  <c r="BG5" i="3"/>
  <c r="BH5" i="3"/>
  <c r="BI5" i="3"/>
  <c r="BJ5" i="3"/>
  <c r="BK5" i="3"/>
  <c r="BL5" i="3"/>
  <c r="BM5" i="3"/>
  <c r="C5" i="3"/>
  <c r="D5" i="3"/>
  <c r="E5" i="3"/>
  <c r="F5" i="3"/>
  <c r="G5" i="3"/>
  <c r="H5" i="3"/>
  <c r="I5" i="3"/>
  <c r="J5" i="3"/>
  <c r="K5" i="3"/>
  <c r="L5" i="3"/>
  <c r="M5" i="3"/>
  <c r="C4" i="3"/>
  <c r="P4" i="3"/>
  <c r="Q4" i="3"/>
  <c r="R4" i="3"/>
  <c r="S4" i="3"/>
  <c r="T4" i="3"/>
  <c r="U4" i="3"/>
  <c r="V4" i="3"/>
  <c r="W4" i="3"/>
  <c r="X4" i="3"/>
  <c r="Y4" i="3"/>
  <c r="Z4" i="3"/>
  <c r="AC4" i="3"/>
  <c r="AD4" i="3"/>
  <c r="AE4" i="3"/>
  <c r="AF4" i="3"/>
  <c r="AG4" i="3"/>
  <c r="AH4" i="3"/>
  <c r="AI4" i="3"/>
  <c r="AJ4" i="3"/>
  <c r="AK4" i="3"/>
  <c r="AL4" i="3"/>
  <c r="AM4" i="3"/>
  <c r="AP4" i="3"/>
  <c r="AQ4" i="3"/>
  <c r="AR4" i="3"/>
  <c r="AS4" i="3"/>
  <c r="AT4" i="3"/>
  <c r="AU4" i="3"/>
  <c r="AV4" i="3"/>
  <c r="AW4" i="3"/>
  <c r="AX4" i="3"/>
  <c r="AY4" i="3"/>
  <c r="AZ4" i="3"/>
  <c r="BC4" i="3"/>
  <c r="BD4" i="3"/>
  <c r="BE4" i="3"/>
  <c r="BF4" i="3"/>
  <c r="BG4" i="3"/>
  <c r="BH4" i="3"/>
  <c r="BI4" i="3"/>
  <c r="BJ4" i="3"/>
  <c r="BK4" i="3"/>
  <c r="BL4" i="3"/>
  <c r="BM4" i="3"/>
  <c r="D4" i="3"/>
  <c r="E4" i="3"/>
  <c r="F4" i="3"/>
  <c r="G4" i="3"/>
  <c r="H4" i="3"/>
  <c r="I4" i="3"/>
  <c r="J4" i="3"/>
  <c r="K4" i="3"/>
  <c r="M4" i="3"/>
  <c r="BN23" i="5"/>
  <c r="BA23" i="5"/>
  <c r="AN23" i="5"/>
  <c r="AA23" i="5"/>
  <c r="BN22" i="5"/>
  <c r="BA22" i="5"/>
  <c r="AN22" i="5"/>
  <c r="AA22" i="5"/>
  <c r="BN16" i="5"/>
  <c r="BA16" i="5"/>
  <c r="AN16" i="5"/>
  <c r="AA16" i="5"/>
  <c r="D9" i="11" s="1"/>
  <c r="N16" i="5"/>
  <c r="BN15" i="5"/>
  <c r="BA15" i="5"/>
  <c r="AN15" i="5"/>
  <c r="N15" i="5"/>
  <c r="BN12" i="5"/>
  <c r="BA12" i="5"/>
  <c r="AN12" i="5"/>
  <c r="AA12" i="5"/>
  <c r="N12" i="5"/>
  <c r="BN11" i="5"/>
  <c r="BA11" i="5"/>
  <c r="AN11" i="5"/>
  <c r="AA11" i="5"/>
  <c r="N11" i="5"/>
  <c r="BN8" i="5"/>
  <c r="BA8" i="5"/>
  <c r="AN8" i="5"/>
  <c r="AA8" i="5"/>
  <c r="N8" i="5"/>
  <c r="BN7" i="5"/>
  <c r="BA7" i="5"/>
  <c r="AN7" i="5"/>
  <c r="AA7" i="5"/>
  <c r="N7" i="5"/>
  <c r="BN6" i="5"/>
  <c r="BA6" i="5"/>
  <c r="AN6" i="5"/>
  <c r="AA6" i="5"/>
  <c r="N6" i="5"/>
  <c r="BN5" i="5"/>
  <c r="BA5" i="5"/>
  <c r="N5" i="5"/>
  <c r="BN4" i="5"/>
  <c r="BA4" i="5"/>
  <c r="N4" i="5"/>
  <c r="BN3" i="5"/>
  <c r="BA3" i="5"/>
  <c r="AN3" i="5"/>
  <c r="AA3" i="5"/>
  <c r="N3" i="5"/>
  <c r="BN2" i="5"/>
  <c r="BA2" i="5"/>
  <c r="N2" i="5"/>
  <c r="BN23" i="3"/>
  <c r="BA23" i="3"/>
  <c r="BN20" i="3"/>
  <c r="BA20" i="3"/>
  <c r="BN19" i="3"/>
  <c r="BA19" i="3"/>
  <c r="N19" i="3"/>
  <c r="BN18" i="3"/>
  <c r="BA18" i="3"/>
  <c r="BN17" i="3"/>
  <c r="BA17" i="3"/>
  <c r="AN17" i="3"/>
  <c r="BN16" i="3"/>
  <c r="BA16" i="3"/>
  <c r="N16" i="3"/>
  <c r="BN15" i="3"/>
  <c r="BA15" i="3"/>
  <c r="BN14" i="3"/>
  <c r="BA14" i="3"/>
  <c r="AN14" i="3"/>
  <c r="AA14" i="3"/>
  <c r="N14" i="3"/>
  <c r="BN13" i="3"/>
  <c r="BA13" i="3"/>
  <c r="N13" i="3"/>
  <c r="BN12" i="3"/>
  <c r="BA12" i="3"/>
  <c r="AN12" i="3"/>
  <c r="AA12" i="3"/>
  <c r="N12" i="3"/>
  <c r="BN11" i="3"/>
  <c r="BA11" i="3"/>
  <c r="AN11" i="3"/>
  <c r="AA11" i="3"/>
  <c r="N11" i="3"/>
  <c r="BN10" i="3"/>
  <c r="BA10" i="3"/>
  <c r="N10" i="3"/>
  <c r="BN9" i="3"/>
  <c r="BA9" i="3"/>
  <c r="N9" i="3"/>
  <c r="BN8" i="3"/>
  <c r="BA8" i="3"/>
  <c r="N8" i="3"/>
  <c r="BN7" i="3"/>
  <c r="BA7" i="3"/>
  <c r="AN7" i="3"/>
  <c r="AA7" i="3"/>
  <c r="N7" i="3"/>
  <c r="BN6" i="3"/>
  <c r="BA6" i="3"/>
  <c r="AN6" i="3"/>
  <c r="AA6" i="3"/>
  <c r="N6" i="3"/>
  <c r="BN3" i="3"/>
  <c r="BA3" i="3"/>
  <c r="AN3" i="3"/>
  <c r="AA3" i="3"/>
  <c r="N3" i="3"/>
  <c r="BN2" i="3"/>
  <c r="BA2" i="3"/>
  <c r="AN2" i="3"/>
  <c r="AA2" i="3"/>
  <c r="N2" i="3"/>
  <c r="O3" i="4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AB3" i="4"/>
  <c r="AB4" i="4"/>
  <c r="AB5" i="4"/>
  <c r="AB6" i="4"/>
  <c r="AB7" i="4"/>
  <c r="AB8" i="4"/>
  <c r="AB9" i="4"/>
  <c r="AB10" i="4"/>
  <c r="AB11" i="4"/>
  <c r="AB12" i="4"/>
  <c r="AB13" i="4"/>
  <c r="AB14" i="4"/>
  <c r="AB15" i="4"/>
  <c r="AB16" i="4"/>
  <c r="AB17" i="4"/>
  <c r="AB18" i="4"/>
  <c r="AB19" i="4"/>
  <c r="AB20" i="4"/>
  <c r="AB21" i="4"/>
  <c r="AB2" i="4"/>
  <c r="AO3" i="4"/>
  <c r="AQ3" i="4" s="1"/>
  <c r="AS3" i="4" s="1"/>
  <c r="AU3" i="4" s="1"/>
  <c r="AW3" i="4" s="1"/>
  <c r="AY3" i="4" s="1"/>
  <c r="BA3" i="4" s="1"/>
  <c r="BC3" i="4" s="1"/>
  <c r="BC3" i="1" s="1"/>
  <c r="AO4" i="4"/>
  <c r="AQ4" i="4" s="1"/>
  <c r="AS4" i="4" s="1"/>
  <c r="AU4" i="4" s="1"/>
  <c r="AW4" i="4" s="1"/>
  <c r="AY4" i="4" s="1"/>
  <c r="BA4" i="4" s="1"/>
  <c r="BC4" i="4" s="1"/>
  <c r="BE4" i="4" s="1"/>
  <c r="BG4" i="4" s="1"/>
  <c r="BI4" i="4" s="1"/>
  <c r="BK4" i="4" s="1"/>
  <c r="BM4" i="4" s="1"/>
  <c r="BM4" i="1" s="1"/>
  <c r="AO5" i="4"/>
  <c r="AO6" i="4"/>
  <c r="AO7" i="4"/>
  <c r="AO8" i="4"/>
  <c r="AO9" i="4"/>
  <c r="AO10" i="4"/>
  <c r="AO11" i="4"/>
  <c r="AO12" i="4"/>
  <c r="AO13" i="4"/>
  <c r="AO14" i="4"/>
  <c r="AO15" i="4"/>
  <c r="AO16" i="4"/>
  <c r="AO17" i="4"/>
  <c r="AO18" i="4"/>
  <c r="AO19" i="4"/>
  <c r="AO20" i="4"/>
  <c r="AO21" i="4"/>
  <c r="AO2" i="4"/>
  <c r="AQ2" i="4" s="1"/>
  <c r="AS2" i="4" s="1"/>
  <c r="AU2" i="4" s="1"/>
  <c r="AW2" i="4" s="1"/>
  <c r="AY2" i="4" s="1"/>
  <c r="BA2" i="4" s="1"/>
  <c r="BC2" i="4" s="1"/>
  <c r="BE2" i="4" s="1"/>
  <c r="BG2" i="4" s="1"/>
  <c r="BI2" i="4" s="1"/>
  <c r="BK2" i="4" s="1"/>
  <c r="BM2" i="4" s="1"/>
  <c r="BM2" i="1" s="1"/>
  <c r="BB5" i="4"/>
  <c r="BB6" i="4"/>
  <c r="BB7" i="4"/>
  <c r="BB8" i="4"/>
  <c r="BB9" i="4"/>
  <c r="BB10" i="4"/>
  <c r="BB11" i="4"/>
  <c r="BB12" i="4"/>
  <c r="BB13" i="4"/>
  <c r="BB14" i="4"/>
  <c r="BB15" i="4"/>
  <c r="BB16" i="4"/>
  <c r="BB17" i="4"/>
  <c r="BB18" i="4"/>
  <c r="BB19" i="4"/>
  <c r="BB20" i="4"/>
  <c r="BB21" i="4"/>
  <c r="BO5" i="4"/>
  <c r="BO6" i="4"/>
  <c r="BO7" i="4"/>
  <c r="BO8" i="4"/>
  <c r="BO9" i="4"/>
  <c r="BO10" i="4"/>
  <c r="BO11" i="4"/>
  <c r="BO12" i="4"/>
  <c r="BO13" i="4"/>
  <c r="BO14" i="4"/>
  <c r="BO15" i="4"/>
  <c r="BO16" i="4"/>
  <c r="BO17" i="4"/>
  <c r="BO18" i="4"/>
  <c r="BO19" i="4"/>
  <c r="BO20" i="4"/>
  <c r="BO21" i="4"/>
  <c r="CB5" i="4"/>
  <c r="CB6" i="4"/>
  <c r="CB7" i="4"/>
  <c r="CB8" i="4"/>
  <c r="CB9" i="4"/>
  <c r="CB10" i="4"/>
  <c r="CB11" i="4"/>
  <c r="CB12" i="4"/>
  <c r="CB13" i="4"/>
  <c r="CB14" i="4"/>
  <c r="CB15" i="4"/>
  <c r="CB16" i="4"/>
  <c r="CB17" i="4"/>
  <c r="CB18" i="4"/>
  <c r="CB19" i="4"/>
  <c r="CB20" i="4"/>
  <c r="CB21" i="4"/>
  <c r="CO21" i="4"/>
  <c r="CO5" i="4"/>
  <c r="CO6" i="4"/>
  <c r="CO7" i="4"/>
  <c r="CO8" i="4"/>
  <c r="CO9" i="4"/>
  <c r="CO10" i="4"/>
  <c r="CO11" i="4"/>
  <c r="CO12" i="4"/>
  <c r="CO13" i="4"/>
  <c r="CO14" i="4"/>
  <c r="CO15" i="4"/>
  <c r="CO16" i="4"/>
  <c r="CO17" i="4"/>
  <c r="CO18" i="4"/>
  <c r="CO19" i="4"/>
  <c r="CO20" i="4"/>
  <c r="BK2" i="1"/>
  <c r="BD5" i="1"/>
  <c r="BE5" i="1"/>
  <c r="BF5" i="1"/>
  <c r="BG5" i="1"/>
  <c r="BH5" i="1"/>
  <c r="BI5" i="1"/>
  <c r="BJ5" i="1"/>
  <c r="BK5" i="1"/>
  <c r="BL5" i="1"/>
  <c r="BM5" i="1"/>
  <c r="BN5" i="1"/>
  <c r="BD6" i="1"/>
  <c r="BE6" i="1"/>
  <c r="BF6" i="1"/>
  <c r="BG6" i="1"/>
  <c r="BH6" i="1"/>
  <c r="BI6" i="1"/>
  <c r="BJ6" i="1"/>
  <c r="BK6" i="1"/>
  <c r="BL6" i="1"/>
  <c r="BM6" i="1"/>
  <c r="BN6" i="1"/>
  <c r="BD7" i="1"/>
  <c r="BE7" i="1"/>
  <c r="BF7" i="1"/>
  <c r="BG7" i="1"/>
  <c r="BH7" i="1"/>
  <c r="BI7" i="1"/>
  <c r="BJ7" i="1"/>
  <c r="BK7" i="1"/>
  <c r="BL7" i="1"/>
  <c r="BM7" i="1"/>
  <c r="BN7" i="1"/>
  <c r="BD8" i="1"/>
  <c r="BE8" i="1"/>
  <c r="BF8" i="1"/>
  <c r="BG8" i="1"/>
  <c r="BH8" i="1"/>
  <c r="BI8" i="1"/>
  <c r="BJ8" i="1"/>
  <c r="BK8" i="1"/>
  <c r="BL8" i="1"/>
  <c r="BM8" i="1"/>
  <c r="BN8" i="1"/>
  <c r="BD9" i="1"/>
  <c r="BE9" i="1"/>
  <c r="BF9" i="1"/>
  <c r="BG9" i="1"/>
  <c r="BH9" i="1"/>
  <c r="BI9" i="1"/>
  <c r="BJ9" i="1"/>
  <c r="BK9" i="1"/>
  <c r="BL9" i="1"/>
  <c r="BM9" i="1"/>
  <c r="BN9" i="1"/>
  <c r="BD10" i="1"/>
  <c r="BE10" i="1"/>
  <c r="BF10" i="1"/>
  <c r="BG10" i="1"/>
  <c r="BH10" i="1"/>
  <c r="BI10" i="1"/>
  <c r="BJ10" i="1"/>
  <c r="BK10" i="1"/>
  <c r="BL10" i="1"/>
  <c r="BM10" i="1"/>
  <c r="BN10" i="1"/>
  <c r="BD11" i="1"/>
  <c r="BE11" i="1"/>
  <c r="BF11" i="1"/>
  <c r="BG11" i="1"/>
  <c r="BH11" i="1"/>
  <c r="BI11" i="1"/>
  <c r="BJ11" i="1"/>
  <c r="BK11" i="1"/>
  <c r="BL11" i="1"/>
  <c r="BM11" i="1"/>
  <c r="BN11" i="1"/>
  <c r="BD12" i="1"/>
  <c r="BE12" i="1"/>
  <c r="BF12" i="1"/>
  <c r="BG12" i="1"/>
  <c r="BH12" i="1"/>
  <c r="BI12" i="1"/>
  <c r="BJ12" i="1"/>
  <c r="BK12" i="1"/>
  <c r="BL12" i="1"/>
  <c r="BM12" i="1"/>
  <c r="BN12" i="1"/>
  <c r="BD13" i="1"/>
  <c r="BE13" i="1"/>
  <c r="BF13" i="1"/>
  <c r="BG13" i="1"/>
  <c r="BH13" i="1"/>
  <c r="BI13" i="1"/>
  <c r="BJ13" i="1"/>
  <c r="BK13" i="1"/>
  <c r="BL13" i="1"/>
  <c r="BM13" i="1"/>
  <c r="BN13" i="1"/>
  <c r="BD14" i="1"/>
  <c r="BE14" i="1"/>
  <c r="BF14" i="1"/>
  <c r="BG14" i="1"/>
  <c r="BH14" i="1"/>
  <c r="BI14" i="1"/>
  <c r="BJ14" i="1"/>
  <c r="BK14" i="1"/>
  <c r="BL14" i="1"/>
  <c r="BM14" i="1"/>
  <c r="BN14" i="1"/>
  <c r="BD15" i="1"/>
  <c r="BE15" i="1"/>
  <c r="BF15" i="1"/>
  <c r="BG15" i="1"/>
  <c r="BH15" i="1"/>
  <c r="BI15" i="1"/>
  <c r="BJ15" i="1"/>
  <c r="BK15" i="1"/>
  <c r="BL15" i="1"/>
  <c r="BM15" i="1"/>
  <c r="BN15" i="1"/>
  <c r="BD16" i="1"/>
  <c r="BE16" i="1"/>
  <c r="BF16" i="1"/>
  <c r="BG16" i="1"/>
  <c r="BH16" i="1"/>
  <c r="BI16" i="1"/>
  <c r="BJ16" i="1"/>
  <c r="BK16" i="1"/>
  <c r="BL16" i="1"/>
  <c r="BM16" i="1"/>
  <c r="BN16" i="1"/>
  <c r="BD17" i="1"/>
  <c r="BE17" i="1"/>
  <c r="BF17" i="1"/>
  <c r="BG17" i="1"/>
  <c r="BH17" i="1"/>
  <c r="BI17" i="1"/>
  <c r="BJ17" i="1"/>
  <c r="BK17" i="1"/>
  <c r="BL17" i="1"/>
  <c r="BM17" i="1"/>
  <c r="BN17" i="1"/>
  <c r="BD18" i="1"/>
  <c r="BE18" i="1"/>
  <c r="BF18" i="1"/>
  <c r="BG18" i="1"/>
  <c r="BH18" i="1"/>
  <c r="BI18" i="1"/>
  <c r="BJ18" i="1"/>
  <c r="BK18" i="1"/>
  <c r="BL18" i="1"/>
  <c r="BM18" i="1"/>
  <c r="BN18" i="1"/>
  <c r="BD19" i="1"/>
  <c r="BE19" i="1"/>
  <c r="BF19" i="1"/>
  <c r="BG19" i="1"/>
  <c r="BH19" i="1"/>
  <c r="BI19" i="1"/>
  <c r="BJ19" i="1"/>
  <c r="BK19" i="1"/>
  <c r="BL19" i="1"/>
  <c r="BM19" i="1"/>
  <c r="BN19" i="1"/>
  <c r="BD20" i="1"/>
  <c r="BE20" i="1"/>
  <c r="BF20" i="1"/>
  <c r="BG20" i="1"/>
  <c r="BH20" i="1"/>
  <c r="BI20" i="1"/>
  <c r="BJ20" i="1"/>
  <c r="BK20" i="1"/>
  <c r="BL20" i="1"/>
  <c r="BM20" i="1"/>
  <c r="BN20" i="1"/>
  <c r="BD21" i="1"/>
  <c r="BE21" i="1"/>
  <c r="BF21" i="1"/>
  <c r="BG21" i="1"/>
  <c r="BH21" i="1"/>
  <c r="BI21" i="1"/>
  <c r="BJ21" i="1"/>
  <c r="BK21" i="1"/>
  <c r="BL21" i="1"/>
  <c r="BM21" i="1"/>
  <c r="BN21" i="1"/>
  <c r="BC21" i="1"/>
  <c r="BC20" i="1"/>
  <c r="BC19" i="1"/>
  <c r="BC18" i="1"/>
  <c r="BC17" i="1"/>
  <c r="BC16" i="1"/>
  <c r="BC15" i="1"/>
  <c r="BC14" i="1"/>
  <c r="BC13" i="1"/>
  <c r="BC12" i="1"/>
  <c r="BC11" i="1"/>
  <c r="BC10" i="1"/>
  <c r="BC9" i="1"/>
  <c r="BC8" i="1"/>
  <c r="BC7" i="1"/>
  <c r="BC6" i="1"/>
  <c r="BC5" i="1"/>
  <c r="AD3" i="1"/>
  <c r="AE3" i="1"/>
  <c r="AF3" i="1"/>
  <c r="AG3" i="1"/>
  <c r="AH3" i="1"/>
  <c r="AI3" i="1"/>
  <c r="AJ3" i="1"/>
  <c r="AK3" i="1"/>
  <c r="AL3" i="1"/>
  <c r="AM3" i="1"/>
  <c r="AN3" i="1"/>
  <c r="AD4" i="1"/>
  <c r="AE4" i="1"/>
  <c r="AF4" i="1"/>
  <c r="AG4" i="1"/>
  <c r="AH4" i="1"/>
  <c r="AI4" i="1"/>
  <c r="AJ4" i="1"/>
  <c r="AK4" i="1"/>
  <c r="AL4" i="1"/>
  <c r="AM4" i="1"/>
  <c r="AN4" i="1"/>
  <c r="AD5" i="1"/>
  <c r="AE5" i="1"/>
  <c r="AF5" i="1"/>
  <c r="AG5" i="1"/>
  <c r="AH5" i="1"/>
  <c r="AI5" i="1"/>
  <c r="AJ5" i="1"/>
  <c r="AK5" i="1"/>
  <c r="AL5" i="1"/>
  <c r="AM5" i="1"/>
  <c r="AN5" i="1"/>
  <c r="AD6" i="1"/>
  <c r="AE6" i="1"/>
  <c r="AF6" i="1"/>
  <c r="AG6" i="1"/>
  <c r="AH6" i="1"/>
  <c r="AI6" i="1"/>
  <c r="AJ6" i="1"/>
  <c r="AK6" i="1"/>
  <c r="AL6" i="1"/>
  <c r="AM6" i="1"/>
  <c r="AN6" i="1"/>
  <c r="AD7" i="1"/>
  <c r="AE7" i="1"/>
  <c r="AF7" i="1"/>
  <c r="AG7" i="1"/>
  <c r="AH7" i="1"/>
  <c r="AI7" i="1"/>
  <c r="AJ7" i="1"/>
  <c r="AK7" i="1"/>
  <c r="AL7" i="1"/>
  <c r="AM7" i="1"/>
  <c r="AN7" i="1"/>
  <c r="AD8" i="1"/>
  <c r="AE8" i="1"/>
  <c r="AF8" i="1"/>
  <c r="AG8" i="1"/>
  <c r="AH8" i="1"/>
  <c r="AI8" i="1"/>
  <c r="AJ8" i="1"/>
  <c r="AK8" i="1"/>
  <c r="AL8" i="1"/>
  <c r="AM8" i="1"/>
  <c r="AN8" i="1"/>
  <c r="AD9" i="1"/>
  <c r="AE9" i="1"/>
  <c r="AF9" i="1"/>
  <c r="AG9" i="1"/>
  <c r="AH9" i="1"/>
  <c r="AI9" i="1"/>
  <c r="AJ9" i="1"/>
  <c r="AK9" i="1"/>
  <c r="AL9" i="1"/>
  <c r="AM9" i="1"/>
  <c r="AN9" i="1"/>
  <c r="AD10" i="1"/>
  <c r="AE10" i="1"/>
  <c r="AF10" i="1"/>
  <c r="AG10" i="1"/>
  <c r="AH10" i="1"/>
  <c r="AI10" i="1"/>
  <c r="AJ10" i="1"/>
  <c r="AK10" i="1"/>
  <c r="AL10" i="1"/>
  <c r="AM10" i="1"/>
  <c r="AN10" i="1"/>
  <c r="AD11" i="1"/>
  <c r="AE11" i="1"/>
  <c r="AF11" i="1"/>
  <c r="AG11" i="1"/>
  <c r="AH11" i="1"/>
  <c r="AI11" i="1"/>
  <c r="AJ11" i="1"/>
  <c r="AK11" i="1"/>
  <c r="AL11" i="1"/>
  <c r="AM11" i="1"/>
  <c r="AN11" i="1"/>
  <c r="AD12" i="1"/>
  <c r="AE12" i="1"/>
  <c r="AF12" i="1"/>
  <c r="AG12" i="1"/>
  <c r="AH12" i="1"/>
  <c r="AI12" i="1"/>
  <c r="AJ12" i="1"/>
  <c r="AK12" i="1"/>
  <c r="AL12" i="1"/>
  <c r="AM12" i="1"/>
  <c r="AN12" i="1"/>
  <c r="AD13" i="1"/>
  <c r="AE13" i="1"/>
  <c r="AF13" i="1"/>
  <c r="AG13" i="1"/>
  <c r="AH13" i="1"/>
  <c r="AI13" i="1"/>
  <c r="AJ13" i="1"/>
  <c r="AK13" i="1"/>
  <c r="AL13" i="1"/>
  <c r="AM13" i="1"/>
  <c r="AN13" i="1"/>
  <c r="AD14" i="1"/>
  <c r="AE14" i="1"/>
  <c r="AF14" i="1"/>
  <c r="AG14" i="1"/>
  <c r="AH14" i="1"/>
  <c r="AI14" i="1"/>
  <c r="AJ14" i="1"/>
  <c r="AK14" i="1"/>
  <c r="AL14" i="1"/>
  <c r="AM14" i="1"/>
  <c r="AN14" i="1"/>
  <c r="AD15" i="1"/>
  <c r="AE15" i="1"/>
  <c r="AF15" i="1"/>
  <c r="AG15" i="1"/>
  <c r="AH15" i="1"/>
  <c r="AI15" i="1"/>
  <c r="AJ15" i="1"/>
  <c r="AK15" i="1"/>
  <c r="AL15" i="1"/>
  <c r="AM15" i="1"/>
  <c r="AN15" i="1"/>
  <c r="AD16" i="1"/>
  <c r="AE16" i="1"/>
  <c r="AF16" i="1"/>
  <c r="AG16" i="1"/>
  <c r="AH16" i="1"/>
  <c r="AI16" i="1"/>
  <c r="AJ16" i="1"/>
  <c r="AK16" i="1"/>
  <c r="AL16" i="1"/>
  <c r="AM16" i="1"/>
  <c r="AN16" i="1"/>
  <c r="AD17" i="1"/>
  <c r="AE17" i="1"/>
  <c r="AF17" i="1"/>
  <c r="AG17" i="1"/>
  <c r="AH17" i="1"/>
  <c r="AI17" i="1"/>
  <c r="AJ17" i="1"/>
  <c r="AK17" i="1"/>
  <c r="AL17" i="1"/>
  <c r="AM17" i="1"/>
  <c r="AN17" i="1"/>
  <c r="AD18" i="1"/>
  <c r="AE18" i="1"/>
  <c r="AF18" i="1"/>
  <c r="AG18" i="1"/>
  <c r="AH18" i="1"/>
  <c r="AI18" i="1"/>
  <c r="AJ18" i="1"/>
  <c r="AK18" i="1"/>
  <c r="AL18" i="1"/>
  <c r="AM18" i="1"/>
  <c r="AN18" i="1"/>
  <c r="AD19" i="1"/>
  <c r="AE19" i="1"/>
  <c r="AF19" i="1"/>
  <c r="AG19" i="1"/>
  <c r="AH19" i="1"/>
  <c r="AI19" i="1"/>
  <c r="AJ19" i="1"/>
  <c r="AK19" i="1"/>
  <c r="AL19" i="1"/>
  <c r="AM19" i="1"/>
  <c r="AN19" i="1"/>
  <c r="AD20" i="1"/>
  <c r="AE20" i="1"/>
  <c r="AF20" i="1"/>
  <c r="AG20" i="1"/>
  <c r="AH20" i="1"/>
  <c r="AI20" i="1"/>
  <c r="AJ20" i="1"/>
  <c r="AK20" i="1"/>
  <c r="AL20" i="1"/>
  <c r="AM20" i="1"/>
  <c r="AN20" i="1"/>
  <c r="AD21" i="1"/>
  <c r="AE21" i="1"/>
  <c r="AF21" i="1"/>
  <c r="AG21" i="1"/>
  <c r="AH21" i="1"/>
  <c r="AI21" i="1"/>
  <c r="AJ21" i="1"/>
  <c r="AK21" i="1"/>
  <c r="AL21" i="1"/>
  <c r="AM21" i="1"/>
  <c r="AN21" i="1"/>
  <c r="AC21" i="1"/>
  <c r="AC19" i="1"/>
  <c r="AC18" i="1"/>
  <c r="AC17" i="1"/>
  <c r="AC16" i="1"/>
  <c r="AC15" i="1"/>
  <c r="AC14" i="1"/>
  <c r="AC13" i="1"/>
  <c r="AC12" i="1"/>
  <c r="AC11" i="1"/>
  <c r="AC10" i="1"/>
  <c r="AC9" i="1"/>
  <c r="AC8" i="1"/>
  <c r="AC6" i="1"/>
  <c r="AC5" i="1"/>
  <c r="AC4" i="1"/>
  <c r="AC3" i="1"/>
  <c r="AC7" i="1"/>
  <c r="AC20" i="1"/>
  <c r="AC2" i="1"/>
  <c r="Q3" i="1"/>
  <c r="R3" i="1"/>
  <c r="S3" i="1"/>
  <c r="T3" i="1"/>
  <c r="U3" i="1"/>
  <c r="V3" i="1"/>
  <c r="W3" i="1"/>
  <c r="X3" i="1"/>
  <c r="Y3" i="1"/>
  <c r="Z3" i="1"/>
  <c r="AA3" i="1"/>
  <c r="Q4" i="1"/>
  <c r="R4" i="1"/>
  <c r="S4" i="1"/>
  <c r="T4" i="1"/>
  <c r="U4" i="1"/>
  <c r="V4" i="1"/>
  <c r="W4" i="1"/>
  <c r="X4" i="1"/>
  <c r="Y4" i="1"/>
  <c r="Z4" i="1"/>
  <c r="AA4" i="1"/>
  <c r="Q5" i="1"/>
  <c r="R5" i="1"/>
  <c r="S5" i="1"/>
  <c r="T5" i="1"/>
  <c r="U5" i="1"/>
  <c r="V5" i="1"/>
  <c r="W5" i="1"/>
  <c r="X5" i="1"/>
  <c r="Y5" i="1"/>
  <c r="Z5" i="1"/>
  <c r="AA5" i="1"/>
  <c r="Q6" i="1"/>
  <c r="R6" i="1"/>
  <c r="S6" i="1"/>
  <c r="T6" i="1"/>
  <c r="U6" i="1"/>
  <c r="V6" i="1"/>
  <c r="W6" i="1"/>
  <c r="X6" i="1"/>
  <c r="Y6" i="1"/>
  <c r="Z6" i="1"/>
  <c r="AA6" i="1"/>
  <c r="Q7" i="1"/>
  <c r="R7" i="1"/>
  <c r="S7" i="1"/>
  <c r="T7" i="1"/>
  <c r="U7" i="1"/>
  <c r="V7" i="1"/>
  <c r="W7" i="1"/>
  <c r="X7" i="1"/>
  <c r="Y7" i="1"/>
  <c r="Z7" i="1"/>
  <c r="AA7" i="1"/>
  <c r="Q8" i="1"/>
  <c r="R8" i="1"/>
  <c r="S8" i="1"/>
  <c r="T8" i="1"/>
  <c r="U8" i="1"/>
  <c r="V8" i="1"/>
  <c r="W8" i="1"/>
  <c r="X8" i="1"/>
  <c r="Y8" i="1"/>
  <c r="Z8" i="1"/>
  <c r="AA8" i="1"/>
  <c r="Q9" i="1"/>
  <c r="R9" i="1"/>
  <c r="S9" i="1"/>
  <c r="T9" i="1"/>
  <c r="U9" i="1"/>
  <c r="V9" i="1"/>
  <c r="W9" i="1"/>
  <c r="X9" i="1"/>
  <c r="Y9" i="1"/>
  <c r="Z9" i="1"/>
  <c r="AA9" i="1"/>
  <c r="Q10" i="1"/>
  <c r="R10" i="1"/>
  <c r="S10" i="1"/>
  <c r="T10" i="1"/>
  <c r="U10" i="1"/>
  <c r="V10" i="1"/>
  <c r="W10" i="1"/>
  <c r="X10" i="1"/>
  <c r="Y10" i="1"/>
  <c r="Z10" i="1"/>
  <c r="AA10" i="1"/>
  <c r="Q11" i="1"/>
  <c r="R11" i="1"/>
  <c r="S11" i="1"/>
  <c r="T11" i="1"/>
  <c r="U11" i="1"/>
  <c r="V11" i="1"/>
  <c r="W11" i="1"/>
  <c r="X11" i="1"/>
  <c r="Y11" i="1"/>
  <c r="Z11" i="1"/>
  <c r="AA11" i="1"/>
  <c r="Q12" i="1"/>
  <c r="R12" i="1"/>
  <c r="S12" i="1"/>
  <c r="T12" i="1"/>
  <c r="U12" i="1"/>
  <c r="V12" i="1"/>
  <c r="W12" i="1"/>
  <c r="X12" i="1"/>
  <c r="Y12" i="1"/>
  <c r="Z12" i="1"/>
  <c r="AA12" i="1"/>
  <c r="Q13" i="1"/>
  <c r="R13" i="1"/>
  <c r="S13" i="1"/>
  <c r="T13" i="1"/>
  <c r="U13" i="1"/>
  <c r="V13" i="1"/>
  <c r="W13" i="1"/>
  <c r="X13" i="1"/>
  <c r="Y13" i="1"/>
  <c r="Z13" i="1"/>
  <c r="AA13" i="1"/>
  <c r="Q14" i="1"/>
  <c r="R14" i="1"/>
  <c r="S14" i="1"/>
  <c r="T14" i="1"/>
  <c r="U14" i="1"/>
  <c r="V14" i="1"/>
  <c r="W14" i="1"/>
  <c r="X14" i="1"/>
  <c r="Y14" i="1"/>
  <c r="Z14" i="1"/>
  <c r="AA14" i="1"/>
  <c r="Q15" i="1"/>
  <c r="R15" i="1"/>
  <c r="S15" i="1"/>
  <c r="T15" i="1"/>
  <c r="U15" i="1"/>
  <c r="V15" i="1"/>
  <c r="W15" i="1"/>
  <c r="X15" i="1"/>
  <c r="Y15" i="1"/>
  <c r="Z15" i="1"/>
  <c r="AA15" i="1"/>
  <c r="Q16" i="1"/>
  <c r="R16" i="1"/>
  <c r="S16" i="1"/>
  <c r="T16" i="1"/>
  <c r="U16" i="1"/>
  <c r="V16" i="1"/>
  <c r="W16" i="1"/>
  <c r="X16" i="1"/>
  <c r="Y16" i="1"/>
  <c r="Z16" i="1"/>
  <c r="AA16" i="1"/>
  <c r="Q17" i="1"/>
  <c r="R17" i="1"/>
  <c r="S17" i="1"/>
  <c r="T17" i="1"/>
  <c r="U17" i="1"/>
  <c r="V17" i="1"/>
  <c r="W17" i="1"/>
  <c r="X17" i="1"/>
  <c r="Y17" i="1"/>
  <c r="Z17" i="1"/>
  <c r="AA17" i="1"/>
  <c r="Q18" i="1"/>
  <c r="R18" i="1"/>
  <c r="S18" i="1"/>
  <c r="T18" i="1"/>
  <c r="U18" i="1"/>
  <c r="V18" i="1"/>
  <c r="W18" i="1"/>
  <c r="X18" i="1"/>
  <c r="Y18" i="1"/>
  <c r="Z18" i="1"/>
  <c r="AA18" i="1"/>
  <c r="Q19" i="1"/>
  <c r="R19" i="1"/>
  <c r="S19" i="1"/>
  <c r="T19" i="1"/>
  <c r="U19" i="1"/>
  <c r="V19" i="1"/>
  <c r="W19" i="1"/>
  <c r="X19" i="1"/>
  <c r="Y19" i="1"/>
  <c r="Z19" i="1"/>
  <c r="AA19" i="1"/>
  <c r="Q20" i="1"/>
  <c r="R20" i="1"/>
  <c r="S20" i="1"/>
  <c r="T20" i="1"/>
  <c r="U20" i="1"/>
  <c r="V20" i="1"/>
  <c r="W20" i="1"/>
  <c r="X20" i="1"/>
  <c r="Y20" i="1"/>
  <c r="Z20" i="1"/>
  <c r="AA20" i="1"/>
  <c r="Q21" i="1"/>
  <c r="R21" i="1"/>
  <c r="S21" i="1"/>
  <c r="T21" i="1"/>
  <c r="U21" i="1"/>
  <c r="V21" i="1"/>
  <c r="W21" i="1"/>
  <c r="X21" i="1"/>
  <c r="Y21" i="1"/>
  <c r="Z21" i="1"/>
  <c r="AA21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P6" i="1"/>
  <c r="P5" i="1"/>
  <c r="P4" i="1"/>
  <c r="P3" i="1"/>
  <c r="P2" i="1"/>
  <c r="D3" i="1"/>
  <c r="E3" i="1"/>
  <c r="F3" i="1"/>
  <c r="G3" i="1"/>
  <c r="H3" i="1"/>
  <c r="I3" i="1"/>
  <c r="J3" i="1"/>
  <c r="K3" i="1"/>
  <c r="L3" i="1"/>
  <c r="M3" i="1"/>
  <c r="N3" i="1"/>
  <c r="D4" i="1"/>
  <c r="E4" i="1"/>
  <c r="F4" i="1"/>
  <c r="G4" i="1"/>
  <c r="H4" i="1"/>
  <c r="I4" i="1"/>
  <c r="J4" i="1"/>
  <c r="K4" i="1"/>
  <c r="L4" i="1"/>
  <c r="M4" i="1"/>
  <c r="N4" i="1"/>
  <c r="D5" i="1"/>
  <c r="E5" i="1"/>
  <c r="F5" i="1"/>
  <c r="G5" i="1"/>
  <c r="H5" i="1"/>
  <c r="I5" i="1"/>
  <c r="J5" i="1"/>
  <c r="K5" i="1"/>
  <c r="L5" i="1"/>
  <c r="M5" i="1"/>
  <c r="N5" i="1"/>
  <c r="D6" i="1"/>
  <c r="E6" i="1"/>
  <c r="F6" i="1"/>
  <c r="G6" i="1"/>
  <c r="H6" i="1"/>
  <c r="I6" i="1"/>
  <c r="J6" i="1"/>
  <c r="K6" i="1"/>
  <c r="L6" i="1"/>
  <c r="M6" i="1"/>
  <c r="N6" i="1"/>
  <c r="D7" i="1"/>
  <c r="E7" i="1"/>
  <c r="F7" i="1"/>
  <c r="G7" i="1"/>
  <c r="H7" i="1"/>
  <c r="I7" i="1"/>
  <c r="J7" i="1"/>
  <c r="K7" i="1"/>
  <c r="L7" i="1"/>
  <c r="M7" i="1"/>
  <c r="N7" i="1"/>
  <c r="D8" i="1"/>
  <c r="E8" i="1"/>
  <c r="F8" i="1"/>
  <c r="G8" i="1"/>
  <c r="H8" i="1"/>
  <c r="I8" i="1"/>
  <c r="J8" i="1"/>
  <c r="K8" i="1"/>
  <c r="L8" i="1"/>
  <c r="M8" i="1"/>
  <c r="N8" i="1"/>
  <c r="D9" i="1"/>
  <c r="E9" i="1"/>
  <c r="F9" i="1"/>
  <c r="G9" i="1"/>
  <c r="H9" i="1"/>
  <c r="I9" i="1"/>
  <c r="J9" i="1"/>
  <c r="K9" i="1"/>
  <c r="L9" i="1"/>
  <c r="M9" i="1"/>
  <c r="N9" i="1"/>
  <c r="D10" i="1"/>
  <c r="E10" i="1"/>
  <c r="F10" i="1"/>
  <c r="G10" i="1"/>
  <c r="H10" i="1"/>
  <c r="I10" i="1"/>
  <c r="J10" i="1"/>
  <c r="K10" i="1"/>
  <c r="L10" i="1"/>
  <c r="M10" i="1"/>
  <c r="N10" i="1"/>
  <c r="D11" i="1"/>
  <c r="E11" i="1"/>
  <c r="F11" i="1"/>
  <c r="G11" i="1"/>
  <c r="H11" i="1"/>
  <c r="I11" i="1"/>
  <c r="J11" i="1"/>
  <c r="K11" i="1"/>
  <c r="L11" i="1"/>
  <c r="M11" i="1"/>
  <c r="N11" i="1"/>
  <c r="D12" i="1"/>
  <c r="E12" i="1"/>
  <c r="F12" i="1"/>
  <c r="G12" i="1"/>
  <c r="H12" i="1"/>
  <c r="I12" i="1"/>
  <c r="J12" i="1"/>
  <c r="K12" i="1"/>
  <c r="L12" i="1"/>
  <c r="M12" i="1"/>
  <c r="N12" i="1"/>
  <c r="D13" i="1"/>
  <c r="E13" i="1"/>
  <c r="F13" i="1"/>
  <c r="G13" i="1"/>
  <c r="H13" i="1"/>
  <c r="I13" i="1"/>
  <c r="J13" i="1"/>
  <c r="K13" i="1"/>
  <c r="L13" i="1"/>
  <c r="M13" i="1"/>
  <c r="N13" i="1"/>
  <c r="D14" i="1"/>
  <c r="E14" i="1"/>
  <c r="F14" i="1"/>
  <c r="G14" i="1"/>
  <c r="H14" i="1"/>
  <c r="I14" i="1"/>
  <c r="J14" i="1"/>
  <c r="K14" i="1"/>
  <c r="L14" i="1"/>
  <c r="M14" i="1"/>
  <c r="N14" i="1"/>
  <c r="D15" i="1"/>
  <c r="E15" i="1"/>
  <c r="F15" i="1"/>
  <c r="G15" i="1"/>
  <c r="H15" i="1"/>
  <c r="I15" i="1"/>
  <c r="J15" i="1"/>
  <c r="K15" i="1"/>
  <c r="L15" i="1"/>
  <c r="M15" i="1"/>
  <c r="N15" i="1"/>
  <c r="D16" i="1"/>
  <c r="E16" i="1"/>
  <c r="F16" i="1"/>
  <c r="G16" i="1"/>
  <c r="H16" i="1"/>
  <c r="I16" i="1"/>
  <c r="J16" i="1"/>
  <c r="K16" i="1"/>
  <c r="L16" i="1"/>
  <c r="M16" i="1"/>
  <c r="N16" i="1"/>
  <c r="D17" i="1"/>
  <c r="E17" i="1"/>
  <c r="F17" i="1"/>
  <c r="G17" i="1"/>
  <c r="H17" i="1"/>
  <c r="I17" i="1"/>
  <c r="J17" i="1"/>
  <c r="K17" i="1"/>
  <c r="L17" i="1"/>
  <c r="M17" i="1"/>
  <c r="N17" i="1"/>
  <c r="D18" i="1"/>
  <c r="E18" i="1"/>
  <c r="F18" i="1"/>
  <c r="G18" i="1"/>
  <c r="H18" i="1"/>
  <c r="I18" i="1"/>
  <c r="J18" i="1"/>
  <c r="K18" i="1"/>
  <c r="L18" i="1"/>
  <c r="M18" i="1"/>
  <c r="N18" i="1"/>
  <c r="D19" i="1"/>
  <c r="E19" i="1"/>
  <c r="F19" i="1"/>
  <c r="G19" i="1"/>
  <c r="H19" i="1"/>
  <c r="I19" i="1"/>
  <c r="J19" i="1"/>
  <c r="K19" i="1"/>
  <c r="L19" i="1"/>
  <c r="M19" i="1"/>
  <c r="N19" i="1"/>
  <c r="D20" i="1"/>
  <c r="E20" i="1"/>
  <c r="F20" i="1"/>
  <c r="G20" i="1"/>
  <c r="H20" i="1"/>
  <c r="I20" i="1"/>
  <c r="J20" i="1"/>
  <c r="K20" i="1"/>
  <c r="L20" i="1"/>
  <c r="M20" i="1"/>
  <c r="N20" i="1"/>
  <c r="D21" i="1"/>
  <c r="E21" i="1"/>
  <c r="F21" i="1"/>
  <c r="G21" i="1"/>
  <c r="H21" i="1"/>
  <c r="I21" i="1"/>
  <c r="J21" i="1"/>
  <c r="K21" i="1"/>
  <c r="L21" i="1"/>
  <c r="M21" i="1"/>
  <c r="N21" i="1"/>
  <c r="C21" i="1"/>
  <c r="C20" i="1"/>
  <c r="C19" i="1"/>
  <c r="C18" i="1"/>
  <c r="C17" i="1"/>
  <c r="C16" i="1"/>
  <c r="C15" i="1"/>
  <c r="C14" i="1"/>
  <c r="C13" i="1"/>
  <c r="C12" i="1"/>
  <c r="C11" i="1"/>
  <c r="C8" i="1"/>
  <c r="C10" i="1"/>
  <c r="C9" i="1"/>
  <c r="C7" i="1"/>
  <c r="C5" i="1"/>
  <c r="C6" i="1"/>
  <c r="AQ5" i="1"/>
  <c r="AR5" i="1"/>
  <c r="AS5" i="1"/>
  <c r="AT5" i="1"/>
  <c r="AU5" i="1"/>
  <c r="AV5" i="1"/>
  <c r="AW5" i="1"/>
  <c r="AX5" i="1"/>
  <c r="AY5" i="1"/>
  <c r="AZ5" i="1"/>
  <c r="BA5" i="1"/>
  <c r="AQ6" i="1"/>
  <c r="AR6" i="1"/>
  <c r="AS6" i="1"/>
  <c r="AT6" i="1"/>
  <c r="AU6" i="1"/>
  <c r="AV6" i="1"/>
  <c r="AW6" i="1"/>
  <c r="AX6" i="1"/>
  <c r="AY6" i="1"/>
  <c r="AZ6" i="1"/>
  <c r="BA6" i="1"/>
  <c r="AQ7" i="1"/>
  <c r="AR7" i="1"/>
  <c r="AS7" i="1"/>
  <c r="AT7" i="1"/>
  <c r="AU7" i="1"/>
  <c r="AV7" i="1"/>
  <c r="AW7" i="1"/>
  <c r="AX7" i="1"/>
  <c r="AY7" i="1"/>
  <c r="AZ7" i="1"/>
  <c r="BA7" i="1"/>
  <c r="AQ8" i="1"/>
  <c r="AR8" i="1"/>
  <c r="AS8" i="1"/>
  <c r="AT8" i="1"/>
  <c r="AU8" i="1"/>
  <c r="AV8" i="1"/>
  <c r="AW8" i="1"/>
  <c r="AX8" i="1"/>
  <c r="AY8" i="1"/>
  <c r="AZ8" i="1"/>
  <c r="BA8" i="1"/>
  <c r="AQ9" i="1"/>
  <c r="AR9" i="1"/>
  <c r="AS9" i="1"/>
  <c r="AT9" i="1"/>
  <c r="AU9" i="1"/>
  <c r="AV9" i="1"/>
  <c r="AW9" i="1"/>
  <c r="AX9" i="1"/>
  <c r="AY9" i="1"/>
  <c r="AZ9" i="1"/>
  <c r="BA9" i="1"/>
  <c r="AQ10" i="1"/>
  <c r="AR10" i="1"/>
  <c r="AS10" i="1"/>
  <c r="AT10" i="1"/>
  <c r="AU10" i="1"/>
  <c r="AV10" i="1"/>
  <c r="AW10" i="1"/>
  <c r="AX10" i="1"/>
  <c r="AY10" i="1"/>
  <c r="AZ10" i="1"/>
  <c r="BA10" i="1"/>
  <c r="AQ11" i="1"/>
  <c r="AR11" i="1"/>
  <c r="AS11" i="1"/>
  <c r="AT11" i="1"/>
  <c r="AU11" i="1"/>
  <c r="AV11" i="1"/>
  <c r="AW11" i="1"/>
  <c r="AX11" i="1"/>
  <c r="AY11" i="1"/>
  <c r="AZ11" i="1"/>
  <c r="BA11" i="1"/>
  <c r="AQ12" i="1"/>
  <c r="AR12" i="1"/>
  <c r="AS12" i="1"/>
  <c r="AT12" i="1"/>
  <c r="AU12" i="1"/>
  <c r="AV12" i="1"/>
  <c r="AW12" i="1"/>
  <c r="AX12" i="1"/>
  <c r="AY12" i="1"/>
  <c r="AZ12" i="1"/>
  <c r="BA12" i="1"/>
  <c r="AQ13" i="1"/>
  <c r="AR13" i="1"/>
  <c r="AS13" i="1"/>
  <c r="AT13" i="1"/>
  <c r="AU13" i="1"/>
  <c r="AV13" i="1"/>
  <c r="AW13" i="1"/>
  <c r="AX13" i="1"/>
  <c r="AY13" i="1"/>
  <c r="AZ13" i="1"/>
  <c r="BA13" i="1"/>
  <c r="AQ14" i="1"/>
  <c r="AR14" i="1"/>
  <c r="AS14" i="1"/>
  <c r="AT14" i="1"/>
  <c r="AU14" i="1"/>
  <c r="AV14" i="1"/>
  <c r="AW14" i="1"/>
  <c r="AX14" i="1"/>
  <c r="AY14" i="1"/>
  <c r="AZ14" i="1"/>
  <c r="BA14" i="1"/>
  <c r="AQ15" i="1"/>
  <c r="AR15" i="1"/>
  <c r="AS15" i="1"/>
  <c r="AT15" i="1"/>
  <c r="AU15" i="1"/>
  <c r="AV15" i="1"/>
  <c r="AW15" i="1"/>
  <c r="AX15" i="1"/>
  <c r="AY15" i="1"/>
  <c r="AZ15" i="1"/>
  <c r="BA15" i="1"/>
  <c r="AQ16" i="1"/>
  <c r="AR16" i="1"/>
  <c r="AS16" i="1"/>
  <c r="AT16" i="1"/>
  <c r="AU16" i="1"/>
  <c r="AV16" i="1"/>
  <c r="AW16" i="1"/>
  <c r="AX16" i="1"/>
  <c r="AY16" i="1"/>
  <c r="AZ16" i="1"/>
  <c r="BA16" i="1"/>
  <c r="AQ17" i="1"/>
  <c r="AR17" i="1"/>
  <c r="AS17" i="1"/>
  <c r="AT17" i="1"/>
  <c r="AU17" i="1"/>
  <c r="AV17" i="1"/>
  <c r="AW17" i="1"/>
  <c r="AX17" i="1"/>
  <c r="AY17" i="1"/>
  <c r="AZ17" i="1"/>
  <c r="BA17" i="1"/>
  <c r="AQ18" i="1"/>
  <c r="AR18" i="1"/>
  <c r="AS18" i="1"/>
  <c r="AT18" i="1"/>
  <c r="AU18" i="1"/>
  <c r="AV18" i="1"/>
  <c r="AW18" i="1"/>
  <c r="AX18" i="1"/>
  <c r="AY18" i="1"/>
  <c r="AZ18" i="1"/>
  <c r="BA18" i="1"/>
  <c r="AQ19" i="1"/>
  <c r="AR19" i="1"/>
  <c r="AS19" i="1"/>
  <c r="AT19" i="1"/>
  <c r="AU19" i="1"/>
  <c r="AV19" i="1"/>
  <c r="AW19" i="1"/>
  <c r="AX19" i="1"/>
  <c r="AY19" i="1"/>
  <c r="AZ19" i="1"/>
  <c r="BA19" i="1"/>
  <c r="AQ20" i="1"/>
  <c r="AR20" i="1"/>
  <c r="AS20" i="1"/>
  <c r="AT20" i="1"/>
  <c r="AU20" i="1"/>
  <c r="AV20" i="1"/>
  <c r="AW20" i="1"/>
  <c r="AX20" i="1"/>
  <c r="AY20" i="1"/>
  <c r="AZ20" i="1"/>
  <c r="BA20" i="1"/>
  <c r="AQ21" i="1"/>
  <c r="AR21" i="1"/>
  <c r="AS21" i="1"/>
  <c r="AT21" i="1"/>
  <c r="AU21" i="1"/>
  <c r="AV21" i="1"/>
  <c r="AW21" i="1"/>
  <c r="AX21" i="1"/>
  <c r="AY21" i="1"/>
  <c r="AZ21" i="1"/>
  <c r="BA21" i="1"/>
  <c r="AR4" i="1"/>
  <c r="AT4" i="1"/>
  <c r="AV4" i="1"/>
  <c r="AW4" i="1"/>
  <c r="AX4" i="1"/>
  <c r="AY4" i="1"/>
  <c r="AZ4" i="1"/>
  <c r="BA4" i="1"/>
  <c r="AR3" i="1"/>
  <c r="AS3" i="1"/>
  <c r="AT3" i="1"/>
  <c r="AV3" i="1"/>
  <c r="AW3" i="1"/>
  <c r="AX3" i="1"/>
  <c r="AY3" i="1"/>
  <c r="AZ3" i="1"/>
  <c r="BA3" i="1"/>
  <c r="AQ2" i="1"/>
  <c r="AR2" i="1"/>
  <c r="AS2" i="1"/>
  <c r="AT2" i="1"/>
  <c r="AU2" i="1"/>
  <c r="AV2" i="1"/>
  <c r="AW2" i="1"/>
  <c r="AX2" i="1"/>
  <c r="AY2" i="1"/>
  <c r="AZ2" i="1"/>
  <c r="BA2" i="1"/>
  <c r="AP21" i="1"/>
  <c r="AP20" i="1"/>
  <c r="AP19" i="1"/>
  <c r="AP18" i="1"/>
  <c r="AP17" i="1"/>
  <c r="AP16" i="1"/>
  <c r="AP15" i="1"/>
  <c r="AP14" i="1"/>
  <c r="AP13" i="1"/>
  <c r="AP12" i="1"/>
  <c r="AP11" i="1"/>
  <c r="AP10" i="1"/>
  <c r="AP9" i="1"/>
  <c r="AP8" i="1"/>
  <c r="AP7" i="1"/>
  <c r="AP6" i="1"/>
  <c r="AP5" i="1"/>
  <c r="AP4" i="1"/>
  <c r="AP2" i="1"/>
  <c r="AP3" i="1"/>
  <c r="AD2" i="1"/>
  <c r="AE2" i="1"/>
  <c r="AF2" i="1"/>
  <c r="AG2" i="1"/>
  <c r="AH2" i="1"/>
  <c r="AI2" i="1"/>
  <c r="AJ2" i="1"/>
  <c r="AK2" i="1"/>
  <c r="AL2" i="1"/>
  <c r="AM2" i="1"/>
  <c r="AN2" i="1"/>
  <c r="O15" i="1"/>
  <c r="Q2" i="1"/>
  <c r="R2" i="1"/>
  <c r="S2" i="1"/>
  <c r="T2" i="1"/>
  <c r="U2" i="1"/>
  <c r="V2" i="1"/>
  <c r="W2" i="1"/>
  <c r="X2" i="1"/>
  <c r="Y2" i="1"/>
  <c r="Z2" i="1"/>
  <c r="AA2" i="1"/>
  <c r="D2" i="1"/>
  <c r="E2" i="1"/>
  <c r="F2" i="1"/>
  <c r="G2" i="1"/>
  <c r="H2" i="1"/>
  <c r="I2" i="1"/>
  <c r="J2" i="1"/>
  <c r="K2" i="1"/>
  <c r="L2" i="1"/>
  <c r="M2" i="1"/>
  <c r="N2" i="1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A2" i="4"/>
  <c r="A21" i="4"/>
  <c r="A20" i="4"/>
  <c r="A19" i="4"/>
  <c r="A18" i="4"/>
  <c r="A17" i="4"/>
  <c r="A16" i="4"/>
  <c r="A15" i="4"/>
  <c r="A14" i="4"/>
  <c r="A13" i="4"/>
  <c r="A12" i="4"/>
  <c r="A11" i="4"/>
  <c r="A10" i="4"/>
  <c r="A9" i="4"/>
  <c r="A8" i="4"/>
  <c r="A7" i="4"/>
  <c r="A6" i="4"/>
  <c r="A5" i="4"/>
  <c r="A4" i="4"/>
  <c r="A3" i="4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" i="1"/>
  <c r="AU3" i="1" l="1"/>
  <c r="BC4" i="1"/>
  <c r="AU4" i="1"/>
  <c r="AS4" i="1"/>
  <c r="AQ4" i="1"/>
  <c r="BG4" i="1"/>
  <c r="BB3" i="4"/>
  <c r="BD3" i="4" s="1"/>
  <c r="BF3" i="4" s="1"/>
  <c r="BK4" i="1"/>
  <c r="AQ3" i="1"/>
  <c r="AB11" i="1"/>
  <c r="AB6" i="1"/>
  <c r="O7" i="1"/>
  <c r="AB8" i="1"/>
  <c r="AB20" i="1"/>
  <c r="O10" i="1"/>
  <c r="O21" i="1"/>
  <c r="O11" i="1"/>
  <c r="AI22" i="1"/>
  <c r="AH20" i="3" s="1"/>
  <c r="D10" i="11"/>
  <c r="D17" i="12" s="1"/>
  <c r="AA24" i="5"/>
  <c r="AD22" i="1"/>
  <c r="AB13" i="1"/>
  <c r="AO11" i="1"/>
  <c r="BO11" i="1"/>
  <c r="BB4" i="4"/>
  <c r="BD4" i="4" s="1"/>
  <c r="D4" i="8"/>
  <c r="D5" i="8" s="1"/>
  <c r="C22" i="1"/>
  <c r="BE2" i="1"/>
  <c r="AN22" i="1"/>
  <c r="AB15" i="1"/>
  <c r="AO13" i="1"/>
  <c r="BO13" i="1"/>
  <c r="F16" i="12"/>
  <c r="F4" i="11"/>
  <c r="AF22" i="1"/>
  <c r="AM22" i="1"/>
  <c r="O6" i="1"/>
  <c r="O17" i="1"/>
  <c r="BC2" i="1"/>
  <c r="BC22" i="1" s="1"/>
  <c r="BE4" i="1"/>
  <c r="G4" i="11"/>
  <c r="G16" i="12"/>
  <c r="AO15" i="1"/>
  <c r="BO15" i="1"/>
  <c r="M4" i="8"/>
  <c r="M5" i="8" s="1"/>
  <c r="AB17" i="1"/>
  <c r="AK22" i="1"/>
  <c r="K4" i="8"/>
  <c r="K5" i="8" s="1"/>
  <c r="AL22" i="1"/>
  <c r="AB5" i="1"/>
  <c r="AJ22" i="1"/>
  <c r="AB7" i="1"/>
  <c r="AO4" i="1"/>
  <c r="AO17" i="1"/>
  <c r="BO5" i="1"/>
  <c r="BO17" i="1"/>
  <c r="BB2" i="4"/>
  <c r="BD2" i="4" s="1"/>
  <c r="F9" i="11"/>
  <c r="BA17" i="5"/>
  <c r="BA10" i="5"/>
  <c r="J4" i="8"/>
  <c r="J5" i="8" s="1"/>
  <c r="AA61" i="6"/>
  <c r="G9" i="11"/>
  <c r="BN17" i="5"/>
  <c r="BN10" i="5"/>
  <c r="I4" i="8"/>
  <c r="I5" i="8" s="1"/>
  <c r="C4" i="8"/>
  <c r="AN61" i="6"/>
  <c r="J10" i="7"/>
  <c r="J11" i="7"/>
  <c r="J13" i="7"/>
  <c r="L13" i="7" s="1"/>
  <c r="J4" i="7"/>
  <c r="J5" i="7"/>
  <c r="J6" i="7"/>
  <c r="J12" i="7"/>
  <c r="J7" i="7"/>
  <c r="J9" i="7"/>
  <c r="J8" i="7"/>
  <c r="AH22" i="1"/>
  <c r="AB9" i="1"/>
  <c r="AO6" i="1"/>
  <c r="AO19" i="1"/>
  <c r="BO7" i="1"/>
  <c r="BO19" i="1"/>
  <c r="H4" i="8"/>
  <c r="H5" i="8" s="1"/>
  <c r="N5" i="3"/>
  <c r="BA61" i="6"/>
  <c r="AG22" i="1"/>
  <c r="BI2" i="1"/>
  <c r="BE3" i="4"/>
  <c r="G4" i="8"/>
  <c r="G5" i="8" s="1"/>
  <c r="BN61" i="6"/>
  <c r="AO9" i="1"/>
  <c r="BO9" i="1"/>
  <c r="F4" i="8"/>
  <c r="F5" i="8" s="1"/>
  <c r="AE22" i="1"/>
  <c r="O13" i="1"/>
  <c r="BI4" i="1"/>
  <c r="BG2" i="1"/>
  <c r="E4" i="8"/>
  <c r="E5" i="8" s="1"/>
  <c r="D46" i="10"/>
  <c r="F45" i="10"/>
  <c r="F46" i="10" s="1"/>
  <c r="J20" i="7"/>
  <c r="J22" i="7"/>
  <c r="L22" i="7" s="1"/>
  <c r="J19" i="7"/>
  <c r="J21" i="7"/>
  <c r="J18" i="7"/>
  <c r="C15" i="7"/>
  <c r="C17" i="7"/>
  <c r="C19" i="7"/>
  <c r="C21" i="7"/>
  <c r="C23" i="7"/>
  <c r="C25" i="7"/>
  <c r="C27" i="7"/>
  <c r="C29" i="7"/>
  <c r="C31" i="7"/>
  <c r="C33" i="7"/>
  <c r="E33" i="7" s="1"/>
  <c r="C16" i="7"/>
  <c r="C18" i="7"/>
  <c r="C20" i="7"/>
  <c r="C22" i="7"/>
  <c r="C24" i="7"/>
  <c r="C26" i="7"/>
  <c r="C28" i="7"/>
  <c r="C30" i="7"/>
  <c r="C32" i="7"/>
  <c r="C14" i="7"/>
  <c r="C5" i="9"/>
  <c r="N61" i="6"/>
  <c r="C5" i="7"/>
  <c r="E5" i="7" s="1"/>
  <c r="C7" i="7"/>
  <c r="E7" i="7" s="1"/>
  <c r="C4" i="7"/>
  <c r="E4" i="7" s="1"/>
  <c r="C4" i="9"/>
  <c r="C6" i="7"/>
  <c r="E6" i="7" s="1"/>
  <c r="C8" i="7"/>
  <c r="E8" i="7" s="1"/>
  <c r="E9" i="11"/>
  <c r="AN10" i="5"/>
  <c r="AN17" i="5"/>
  <c r="C9" i="11"/>
  <c r="N10" i="5"/>
  <c r="N17" i="5"/>
  <c r="N4" i="3"/>
  <c r="AB4" i="1"/>
  <c r="Z22" i="1"/>
  <c r="X22" i="1"/>
  <c r="V22" i="1"/>
  <c r="T22" i="1"/>
  <c r="R22" i="1"/>
  <c r="AB3" i="1"/>
  <c r="N22" i="1"/>
  <c r="M20" i="3" s="1"/>
  <c r="L22" i="1"/>
  <c r="K20" i="3" s="1"/>
  <c r="J22" i="1"/>
  <c r="I20" i="3" s="1"/>
  <c r="H22" i="1"/>
  <c r="G20" i="3" s="1"/>
  <c r="F22" i="1"/>
  <c r="D22" i="1"/>
  <c r="C20" i="3" s="1"/>
  <c r="O3" i="1"/>
  <c r="AB19" i="1"/>
  <c r="AB21" i="1"/>
  <c r="O9" i="1"/>
  <c r="O5" i="1"/>
  <c r="AB16" i="1"/>
  <c r="O19" i="1"/>
  <c r="O16" i="1"/>
  <c r="O14" i="1"/>
  <c r="O4" i="1"/>
  <c r="AB18" i="1"/>
  <c r="AB14" i="1"/>
  <c r="AB10" i="1"/>
  <c r="O20" i="1"/>
  <c r="O18" i="1"/>
  <c r="O12" i="1"/>
  <c r="O8" i="1"/>
  <c r="BB5" i="1"/>
  <c r="BB7" i="1"/>
  <c r="BB9" i="1"/>
  <c r="BB11" i="1"/>
  <c r="BB13" i="1"/>
  <c r="BB15" i="1"/>
  <c r="BB17" i="1"/>
  <c r="AO3" i="1"/>
  <c r="AO5" i="1"/>
  <c r="AO8" i="1"/>
  <c r="AO10" i="1"/>
  <c r="AO12" i="1"/>
  <c r="AO14" i="1"/>
  <c r="AO16" i="1"/>
  <c r="AO18" i="1"/>
  <c r="AO21" i="1"/>
  <c r="BO6" i="1"/>
  <c r="BO8" i="1"/>
  <c r="BO10" i="1"/>
  <c r="BO12" i="1"/>
  <c r="BO14" i="1"/>
  <c r="BO16" i="1"/>
  <c r="BO18" i="1"/>
  <c r="BO20" i="1"/>
  <c r="AC22" i="1"/>
  <c r="M22" i="1"/>
  <c r="L20" i="3" s="1"/>
  <c r="K22" i="1"/>
  <c r="J20" i="3" s="1"/>
  <c r="I22" i="1"/>
  <c r="H20" i="3" s="1"/>
  <c r="G22" i="1"/>
  <c r="F20" i="3" s="1"/>
  <c r="E22" i="1"/>
  <c r="D20" i="3" s="1"/>
  <c r="AA22" i="1"/>
  <c r="Y22" i="1"/>
  <c r="W22" i="1"/>
  <c r="U22" i="1"/>
  <c r="S22" i="1"/>
  <c r="BB4" i="1"/>
  <c r="BB6" i="1"/>
  <c r="BB8" i="1"/>
  <c r="BB10" i="1"/>
  <c r="BB12" i="1"/>
  <c r="BB14" i="1"/>
  <c r="BB16" i="1"/>
  <c r="BB18" i="1"/>
  <c r="BB20" i="1"/>
  <c r="BA22" i="1"/>
  <c r="AY22" i="1"/>
  <c r="AW22" i="1"/>
  <c r="AU22" i="1"/>
  <c r="AS22" i="1"/>
  <c r="AQ22" i="1"/>
  <c r="AB12" i="1"/>
  <c r="BB2" i="1"/>
  <c r="AP22" i="1"/>
  <c r="BB19" i="1"/>
  <c r="BB21" i="1"/>
  <c r="AZ22" i="1"/>
  <c r="AX22" i="1"/>
  <c r="AV22" i="1"/>
  <c r="AT22" i="1"/>
  <c r="AR22" i="1"/>
  <c r="P22" i="1"/>
  <c r="AB2" i="1"/>
  <c r="Q22" i="1"/>
  <c r="BO21" i="1"/>
  <c r="O2" i="1"/>
  <c r="BA4" i="3"/>
  <c r="F7" i="12" s="1"/>
  <c r="AA4" i="3"/>
  <c r="BA5" i="3"/>
  <c r="AA5" i="3"/>
  <c r="BN4" i="3"/>
  <c r="AN4" i="3"/>
  <c r="BN5" i="3"/>
  <c r="AN5" i="3"/>
  <c r="BB3" i="1"/>
  <c r="AO2" i="1"/>
  <c r="AO20" i="1"/>
  <c r="AO7" i="1"/>
  <c r="BD3" i="1" l="1"/>
  <c r="BH3" i="4"/>
  <c r="BF3" i="1"/>
  <c r="D7" i="11"/>
  <c r="B18" i="3"/>
  <c r="B15" i="3"/>
  <c r="B20" i="3"/>
  <c r="C7" i="12"/>
  <c r="C10" i="14" s="1"/>
  <c r="AH15" i="3"/>
  <c r="AH18" i="3"/>
  <c r="E7" i="12"/>
  <c r="E10" i="14" s="1"/>
  <c r="AH23" i="3"/>
  <c r="D7" i="12"/>
  <c r="D10" i="14" s="1"/>
  <c r="F10" i="11"/>
  <c r="F17" i="12" s="1"/>
  <c r="F20" i="12" s="1"/>
  <c r="D19" i="8"/>
  <c r="D18" i="3"/>
  <c r="D17" i="8" s="1"/>
  <c r="D15" i="3"/>
  <c r="D24" i="14"/>
  <c r="D28" i="14" s="1"/>
  <c r="D10" i="12"/>
  <c r="H12" i="14"/>
  <c r="F19" i="8"/>
  <c r="F18" i="3"/>
  <c r="F17" i="8" s="1"/>
  <c r="F15" i="3"/>
  <c r="AG15" i="3"/>
  <c r="AG20" i="3"/>
  <c r="AG18" i="3"/>
  <c r="L11" i="7"/>
  <c r="L10" i="7"/>
  <c r="I12" i="14"/>
  <c r="J15" i="3"/>
  <c r="J19" i="8"/>
  <c r="J18" i="3"/>
  <c r="J17" i="8" s="1"/>
  <c r="Q20" i="3"/>
  <c r="Q18" i="3"/>
  <c r="Q15" i="3"/>
  <c r="BG3" i="4"/>
  <c r="BE3" i="1"/>
  <c r="E24" i="14"/>
  <c r="E28" i="14" s="1"/>
  <c r="E10" i="12"/>
  <c r="BA24" i="5"/>
  <c r="AI15" i="3"/>
  <c r="AI20" i="3"/>
  <c r="AI18" i="3"/>
  <c r="AL18" i="3"/>
  <c r="AL20" i="3"/>
  <c r="AL15" i="3"/>
  <c r="L8" i="7"/>
  <c r="AJ18" i="3"/>
  <c r="AJ15" i="3"/>
  <c r="AJ20" i="3"/>
  <c r="AE20" i="3"/>
  <c r="AE18" i="3"/>
  <c r="AE15" i="3"/>
  <c r="AM18" i="3"/>
  <c r="AM15" i="3"/>
  <c r="AM20" i="3"/>
  <c r="L18" i="3"/>
  <c r="L17" i="8" s="1"/>
  <c r="L15" i="3"/>
  <c r="L14" i="8" s="1"/>
  <c r="S20" i="3"/>
  <c r="S18" i="3"/>
  <c r="S15" i="3"/>
  <c r="O18" i="3"/>
  <c r="O15" i="3"/>
  <c r="O20" i="3"/>
  <c r="AB18" i="3"/>
  <c r="AB15" i="3"/>
  <c r="AB20" i="3"/>
  <c r="U15" i="3"/>
  <c r="U20" i="3"/>
  <c r="U18" i="3"/>
  <c r="C5" i="8"/>
  <c r="N4" i="8"/>
  <c r="C8" i="9" s="1"/>
  <c r="C18" i="3"/>
  <c r="C17" i="8" s="1"/>
  <c r="C15" i="3"/>
  <c r="C19" i="8"/>
  <c r="W15" i="3"/>
  <c r="W20" i="3"/>
  <c r="W18" i="3"/>
  <c r="I24" i="14"/>
  <c r="I28" i="14" s="1"/>
  <c r="L9" i="7"/>
  <c r="AK18" i="3"/>
  <c r="AK15" i="3"/>
  <c r="AK20" i="3"/>
  <c r="R20" i="3"/>
  <c r="R18" i="3"/>
  <c r="R15" i="3"/>
  <c r="E20" i="3"/>
  <c r="E19" i="8" s="1"/>
  <c r="E18" i="3"/>
  <c r="E17" i="8" s="1"/>
  <c r="E15" i="3"/>
  <c r="Y18" i="3"/>
  <c r="Y15" i="3"/>
  <c r="Y20" i="3"/>
  <c r="AD20" i="3"/>
  <c r="AD18" i="3"/>
  <c r="AD15" i="3"/>
  <c r="G24" i="14"/>
  <c r="G28" i="14" s="1"/>
  <c r="G10" i="12"/>
  <c r="AF15" i="3"/>
  <c r="AF20" i="3"/>
  <c r="AF18" i="3"/>
  <c r="L7" i="7"/>
  <c r="BF4" i="4"/>
  <c r="BD4" i="1"/>
  <c r="H24" i="14"/>
  <c r="H28" i="14" s="1"/>
  <c r="F24" i="14"/>
  <c r="F28" i="14" s="1"/>
  <c r="F10" i="12"/>
  <c r="L12" i="7"/>
  <c r="G12" i="14"/>
  <c r="T15" i="3"/>
  <c r="T20" i="3"/>
  <c r="T18" i="3"/>
  <c r="G15" i="3"/>
  <c r="G19" i="8"/>
  <c r="G18" i="3"/>
  <c r="G17" i="8" s="1"/>
  <c r="I10" i="14"/>
  <c r="L6" i="7"/>
  <c r="L5" i="7"/>
  <c r="BF2" i="4"/>
  <c r="BD2" i="1"/>
  <c r="F10" i="14"/>
  <c r="H15" i="3"/>
  <c r="H19" i="8"/>
  <c r="H18" i="3"/>
  <c r="H17" i="8" s="1"/>
  <c r="O22" i="1"/>
  <c r="G7" i="12"/>
  <c r="V15" i="3"/>
  <c r="V20" i="3"/>
  <c r="V18" i="3"/>
  <c r="I15" i="3"/>
  <c r="I19" i="8"/>
  <c r="I18" i="3"/>
  <c r="I17" i="8" s="1"/>
  <c r="P18" i="3"/>
  <c r="P15" i="3"/>
  <c r="P20" i="3"/>
  <c r="X18" i="3"/>
  <c r="X15" i="3"/>
  <c r="X20" i="3"/>
  <c r="K18" i="3"/>
  <c r="K17" i="8" s="1"/>
  <c r="K15" i="3"/>
  <c r="K19" i="8"/>
  <c r="Z20" i="3"/>
  <c r="Z18" i="3"/>
  <c r="Z15" i="3"/>
  <c r="M18" i="3"/>
  <c r="M17" i="8" s="1"/>
  <c r="M19" i="8"/>
  <c r="M15" i="3"/>
  <c r="L4" i="7"/>
  <c r="M4" i="7" s="1"/>
  <c r="AC20" i="3"/>
  <c r="AC18" i="3"/>
  <c r="AC15" i="3"/>
  <c r="L21" i="7"/>
  <c r="L18" i="7"/>
  <c r="M18" i="7" s="1"/>
  <c r="L19" i="7"/>
  <c r="L20" i="7"/>
  <c r="E32" i="7"/>
  <c r="E28" i="7"/>
  <c r="E24" i="7"/>
  <c r="E20" i="7"/>
  <c r="E16" i="7"/>
  <c r="E31" i="7"/>
  <c r="E27" i="7"/>
  <c r="E23" i="7"/>
  <c r="E19" i="7"/>
  <c r="E15" i="7"/>
  <c r="C7" i="9"/>
  <c r="E14" i="7"/>
  <c r="F14" i="7" s="1"/>
  <c r="E30" i="7"/>
  <c r="E26" i="7"/>
  <c r="E22" i="7"/>
  <c r="E18" i="7"/>
  <c r="E29" i="7"/>
  <c r="E25" i="7"/>
  <c r="E21" i="7"/>
  <c r="E17" i="7"/>
  <c r="F4" i="7"/>
  <c r="C24" i="14"/>
  <c r="C28" i="14" s="1"/>
  <c r="C10" i="12"/>
  <c r="E10" i="11"/>
  <c r="E17" i="12" s="1"/>
  <c r="AN24" i="5"/>
  <c r="AB22" i="1"/>
  <c r="F5" i="15" s="1"/>
  <c r="AO22" i="1"/>
  <c r="E3" i="11" s="1"/>
  <c r="BB22" i="1"/>
  <c r="BJ3" i="4" l="1"/>
  <c r="BH3" i="1"/>
  <c r="C3" i="10"/>
  <c r="E7" i="11"/>
  <c r="F7" i="11"/>
  <c r="C3" i="11"/>
  <c r="C6" i="12" s="1"/>
  <c r="C11" i="14" s="1"/>
  <c r="C5" i="15"/>
  <c r="AN20" i="3"/>
  <c r="AL23" i="3"/>
  <c r="Y23" i="3"/>
  <c r="W23" i="3"/>
  <c r="AE23" i="3"/>
  <c r="T23" i="3"/>
  <c r="R23" i="3"/>
  <c r="AJ23" i="3"/>
  <c r="AN18" i="3"/>
  <c r="M5" i="7"/>
  <c r="N5" i="7" s="1"/>
  <c r="F15" i="7"/>
  <c r="F16" i="7" s="1"/>
  <c r="L19" i="8"/>
  <c r="L23" i="3"/>
  <c r="L22" i="8" s="1"/>
  <c r="M14" i="8"/>
  <c r="M23" i="3"/>
  <c r="M22" i="8" s="1"/>
  <c r="F12" i="11"/>
  <c r="F6" i="14" s="1"/>
  <c r="P23" i="3"/>
  <c r="H14" i="8"/>
  <c r="H23" i="3"/>
  <c r="H22" i="8" s="1"/>
  <c r="U23" i="3"/>
  <c r="BE22" i="1"/>
  <c r="E14" i="8"/>
  <c r="E23" i="3"/>
  <c r="E22" i="8" s="1"/>
  <c r="BI3" i="4"/>
  <c r="BG3" i="1"/>
  <c r="BG22" i="1" s="1"/>
  <c r="AB23" i="3"/>
  <c r="AM23" i="3"/>
  <c r="Q23" i="3"/>
  <c r="B19" i="8"/>
  <c r="N20" i="3"/>
  <c r="AA15" i="3"/>
  <c r="O23" i="3"/>
  <c r="AI23" i="3"/>
  <c r="AG23" i="3"/>
  <c r="BD22" i="1"/>
  <c r="B14" i="8"/>
  <c r="B23" i="3"/>
  <c r="N15" i="3"/>
  <c r="K14" i="8"/>
  <c r="K23" i="3"/>
  <c r="K22" i="8" s="1"/>
  <c r="BH2" i="4"/>
  <c r="BF2" i="1"/>
  <c r="G14" i="8"/>
  <c r="G23" i="3"/>
  <c r="G22" i="8" s="1"/>
  <c r="C14" i="8"/>
  <c r="C23" i="3"/>
  <c r="C22" i="8" s="1"/>
  <c r="AA18" i="3"/>
  <c r="F14" i="8"/>
  <c r="F23" i="3"/>
  <c r="F22" i="8" s="1"/>
  <c r="AN15" i="3"/>
  <c r="AC23" i="3"/>
  <c r="Z23" i="3"/>
  <c r="AF23" i="3"/>
  <c r="AA20" i="3"/>
  <c r="B17" i="8"/>
  <c r="N17" i="8" s="1"/>
  <c r="N18" i="3"/>
  <c r="V23" i="3"/>
  <c r="AD23" i="3"/>
  <c r="S23" i="3"/>
  <c r="J14" i="8"/>
  <c r="J23" i="3"/>
  <c r="J22" i="8" s="1"/>
  <c r="D14" i="8"/>
  <c r="D23" i="3"/>
  <c r="D22" i="8" s="1"/>
  <c r="N4" i="7"/>
  <c r="G10" i="14"/>
  <c r="AK23" i="3"/>
  <c r="H10" i="14"/>
  <c r="I14" i="8"/>
  <c r="I23" i="3"/>
  <c r="I22" i="8" s="1"/>
  <c r="M6" i="7"/>
  <c r="X23" i="3"/>
  <c r="BH4" i="4"/>
  <c r="BF4" i="1"/>
  <c r="N5" i="8"/>
  <c r="M19" i="7"/>
  <c r="G11" i="12"/>
  <c r="G12" i="12" s="1"/>
  <c r="F11" i="12"/>
  <c r="F12" i="12" s="1"/>
  <c r="N18" i="7"/>
  <c r="E12" i="11"/>
  <c r="E6" i="14" s="1"/>
  <c r="C12" i="11"/>
  <c r="C6" i="14" s="1"/>
  <c r="C11" i="12"/>
  <c r="C12" i="12" s="1"/>
  <c r="F17" i="7"/>
  <c r="G15" i="7"/>
  <c r="G16" i="7"/>
  <c r="G12" i="11"/>
  <c r="G6" i="14" s="1"/>
  <c r="E11" i="12"/>
  <c r="E12" i="12" s="1"/>
  <c r="H6" i="14"/>
  <c r="D12" i="11"/>
  <c r="D6" i="14" s="1"/>
  <c r="D11" i="12"/>
  <c r="D12" i="12" s="1"/>
  <c r="G14" i="7"/>
  <c r="I6" i="14"/>
  <c r="G4" i="7"/>
  <c r="F5" i="7"/>
  <c r="E8" i="15"/>
  <c r="E17" i="15" s="1"/>
  <c r="N9" i="5" s="1"/>
  <c r="D3" i="11"/>
  <c r="D5" i="13" s="1"/>
  <c r="I5" i="15"/>
  <c r="F3" i="11"/>
  <c r="L5" i="15"/>
  <c r="BL3" i="4" l="1"/>
  <c r="BJ3" i="1"/>
  <c r="D6" i="12"/>
  <c r="D11" i="14" s="1"/>
  <c r="C5" i="13"/>
  <c r="L44" i="8"/>
  <c r="L45" i="8" s="1"/>
  <c r="K44" i="8"/>
  <c r="K45" i="8" s="1"/>
  <c r="J44" i="8"/>
  <c r="J45" i="8" s="1"/>
  <c r="E44" i="8"/>
  <c r="E45" i="8" s="1"/>
  <c r="C44" i="8"/>
  <c r="C45" i="8" s="1"/>
  <c r="N19" i="8"/>
  <c r="D44" i="8"/>
  <c r="D45" i="8" s="1"/>
  <c r="G44" i="8"/>
  <c r="G45" i="8" s="1"/>
  <c r="AA23" i="3"/>
  <c r="BJ4" i="4"/>
  <c r="BH4" i="1"/>
  <c r="BF22" i="1"/>
  <c r="BJ2" i="4"/>
  <c r="BH2" i="1"/>
  <c r="M7" i="7"/>
  <c r="N6" i="7"/>
  <c r="H44" i="8"/>
  <c r="H45" i="8" s="1"/>
  <c r="B22" i="8"/>
  <c r="N22" i="8" s="1"/>
  <c r="N23" i="3"/>
  <c r="AN23" i="3"/>
  <c r="F44" i="8"/>
  <c r="F45" i="8" s="1"/>
  <c r="N14" i="8"/>
  <c r="M44" i="8"/>
  <c r="M45" i="8" s="1"/>
  <c r="I44" i="8"/>
  <c r="I45" i="8" s="1"/>
  <c r="N24" i="5"/>
  <c r="C10" i="11"/>
  <c r="C17" i="12" s="1"/>
  <c r="BK3" i="4"/>
  <c r="BI3" i="1"/>
  <c r="M20" i="7"/>
  <c r="N19" i="7"/>
  <c r="F18" i="7"/>
  <c r="G17" i="7"/>
  <c r="F6" i="7"/>
  <c r="G5" i="7"/>
  <c r="E5" i="13"/>
  <c r="E6" i="12"/>
  <c r="F6" i="12"/>
  <c r="L5" i="12" s="1"/>
  <c r="F5" i="13"/>
  <c r="F5" i="11"/>
  <c r="BN3" i="4" l="1"/>
  <c r="BL3" i="1"/>
  <c r="C7" i="11"/>
  <c r="BH22" i="1"/>
  <c r="B44" i="8"/>
  <c r="N44" i="8" s="1"/>
  <c r="M8" i="7"/>
  <c r="N7" i="7"/>
  <c r="BL2" i="4"/>
  <c r="BJ2" i="1"/>
  <c r="E11" i="14"/>
  <c r="E16" i="12"/>
  <c r="K5" i="12" s="1"/>
  <c r="E4" i="11"/>
  <c r="E5" i="11" s="1"/>
  <c r="E6" i="11" s="1"/>
  <c r="C16" i="12"/>
  <c r="I5" i="12" s="1"/>
  <c r="C4" i="11"/>
  <c r="C5" i="11" s="1"/>
  <c r="BL4" i="4"/>
  <c r="BJ4" i="1"/>
  <c r="BI22" i="1"/>
  <c r="D16" i="12"/>
  <c r="D4" i="11"/>
  <c r="D5" i="11" s="1"/>
  <c r="BM3" i="4"/>
  <c r="BM3" i="1" s="1"/>
  <c r="BM22" i="1" s="1"/>
  <c r="BK3" i="1"/>
  <c r="BK22" i="1" s="1"/>
  <c r="BO3" i="4"/>
  <c r="BQ3" i="4" s="1"/>
  <c r="M21" i="7"/>
  <c r="N20" i="7"/>
  <c r="F19" i="7"/>
  <c r="G18" i="7"/>
  <c r="F7" i="7"/>
  <c r="G6" i="7"/>
  <c r="F11" i="14"/>
  <c r="F6" i="11"/>
  <c r="F8" i="11"/>
  <c r="F11" i="11" s="1"/>
  <c r="F13" i="11" s="1"/>
  <c r="BP3" i="4" l="1"/>
  <c r="BR3" i="4" s="1"/>
  <c r="BT3" i="4" s="1"/>
  <c r="BV3" i="4" s="1"/>
  <c r="BX3" i="4" s="1"/>
  <c r="BZ3" i="4" s="1"/>
  <c r="BN3" i="1"/>
  <c r="N45" i="8"/>
  <c r="C9" i="9"/>
  <c r="C10" i="9" s="1"/>
  <c r="B45" i="8"/>
  <c r="F12" i="14"/>
  <c r="E12" i="14"/>
  <c r="E20" i="12"/>
  <c r="D8" i="11"/>
  <c r="D11" i="11" s="1"/>
  <c r="D13" i="11" s="1"/>
  <c r="D6" i="11"/>
  <c r="BJ22" i="1"/>
  <c r="BN2" i="4"/>
  <c r="BL2" i="1"/>
  <c r="BO3" i="1"/>
  <c r="BN4" i="4"/>
  <c r="BL4" i="1"/>
  <c r="M9" i="7"/>
  <c r="N8" i="7"/>
  <c r="C6" i="11"/>
  <c r="C8" i="11"/>
  <c r="C11" i="11" s="1"/>
  <c r="C13" i="11" s="1"/>
  <c r="L7" i="12"/>
  <c r="BS3" i="4"/>
  <c r="D20" i="12"/>
  <c r="D12" i="14"/>
  <c r="J5" i="12"/>
  <c r="K7" i="12" s="1"/>
  <c r="E8" i="11"/>
  <c r="E11" i="11" s="1"/>
  <c r="E13" i="11" s="1"/>
  <c r="E4" i="14" s="1"/>
  <c r="E8" i="14" s="1"/>
  <c r="C12" i="14"/>
  <c r="C20" i="12"/>
  <c r="M22" i="7"/>
  <c r="N22" i="7" s="1"/>
  <c r="N21" i="7"/>
  <c r="F20" i="7"/>
  <c r="G19" i="7"/>
  <c r="G7" i="7"/>
  <c r="F8" i="7"/>
  <c r="G8" i="7" s="1"/>
  <c r="F17" i="11"/>
  <c r="F4" i="14"/>
  <c r="F8" i="14" s="1"/>
  <c r="B18" i="5"/>
  <c r="B24" i="5" s="1"/>
  <c r="C18" i="5"/>
  <c r="C24" i="5" s="1"/>
  <c r="E18" i="5"/>
  <c r="E24" i="5" s="1"/>
  <c r="G18" i="5"/>
  <c r="G24" i="5" s="1"/>
  <c r="D18" i="5"/>
  <c r="D24" i="5" s="1"/>
  <c r="F18" i="5"/>
  <c r="F24" i="5" s="1"/>
  <c r="C4" i="10" l="1"/>
  <c r="C5" i="10" s="1"/>
  <c r="C11" i="9"/>
  <c r="BL22" i="1"/>
  <c r="E17" i="11"/>
  <c r="E18" i="11" s="1"/>
  <c r="J7" i="12"/>
  <c r="F13" i="14"/>
  <c r="E13" i="14"/>
  <c r="BP4" i="4"/>
  <c r="BN4" i="1"/>
  <c r="BO4" i="1" s="1"/>
  <c r="BU3" i="4"/>
  <c r="BP2" i="4"/>
  <c r="BN2" i="1"/>
  <c r="BO2" i="4"/>
  <c r="BQ2" i="4" s="1"/>
  <c r="C4" i="14"/>
  <c r="C8" i="14" s="1"/>
  <c r="C13" i="14" s="1"/>
  <c r="C17" i="11"/>
  <c r="D4" i="14"/>
  <c r="D8" i="14" s="1"/>
  <c r="D13" i="14" s="1"/>
  <c r="D17" i="11"/>
  <c r="D18" i="11" s="1"/>
  <c r="D4" i="13" s="1"/>
  <c r="M10" i="7"/>
  <c r="N9" i="7"/>
  <c r="BO4" i="4"/>
  <c r="BQ4" i="4" s="1"/>
  <c r="F21" i="7"/>
  <c r="G20" i="7"/>
  <c r="F18" i="11"/>
  <c r="F19" i="11" s="1"/>
  <c r="C38" i="14" l="1"/>
  <c r="C13" i="9"/>
  <c r="B4" i="16"/>
  <c r="B9" i="16" s="1"/>
  <c r="D17" i="14"/>
  <c r="D22" i="14" s="1"/>
  <c r="D37" i="14" s="1"/>
  <c r="F9" i="16"/>
  <c r="C18" i="11"/>
  <c r="C19" i="11" s="1"/>
  <c r="BS2" i="4"/>
  <c r="D19" i="11"/>
  <c r="D4" i="16" s="1"/>
  <c r="BW3" i="4"/>
  <c r="BR2" i="4"/>
  <c r="BN22" i="1"/>
  <c r="BO2" i="1"/>
  <c r="BO22" i="1" s="1"/>
  <c r="BS4" i="4"/>
  <c r="M11" i="7"/>
  <c r="N10" i="7"/>
  <c r="BR4" i="4"/>
  <c r="F22" i="7"/>
  <c r="G21" i="7"/>
  <c r="F23" i="12"/>
  <c r="F30" i="16"/>
  <c r="F31" i="16" s="1"/>
  <c r="E17" i="14"/>
  <c r="E22" i="14" s="1"/>
  <c r="E37" i="14" s="1"/>
  <c r="E4" i="13"/>
  <c r="D7" i="13"/>
  <c r="D6" i="13"/>
  <c r="E19" i="11"/>
  <c r="F17" i="14"/>
  <c r="F22" i="14" s="1"/>
  <c r="F37" i="14" s="1"/>
  <c r="F4" i="13"/>
  <c r="J4" i="9" l="1"/>
  <c r="J7" i="9" s="1"/>
  <c r="J11" i="9" s="1"/>
  <c r="D13" i="9"/>
  <c r="D9" i="16"/>
  <c r="D30" i="16"/>
  <c r="D31" i="16" s="1"/>
  <c r="D23" i="12"/>
  <c r="BT2" i="4"/>
  <c r="BT4" i="4"/>
  <c r="BY3" i="4"/>
  <c r="BU2" i="4"/>
  <c r="C30" i="16"/>
  <c r="C31" i="16" s="1"/>
  <c r="C23" i="12"/>
  <c r="C4" i="16"/>
  <c r="C9" i="16"/>
  <c r="M12" i="7"/>
  <c r="N11" i="7"/>
  <c r="C17" i="14"/>
  <c r="C22" i="14" s="1"/>
  <c r="C37" i="14" s="1"/>
  <c r="C39" i="14" s="1"/>
  <c r="C4" i="13"/>
  <c r="BU4" i="4"/>
  <c r="G3" i="11"/>
  <c r="O5" i="15"/>
  <c r="Q13" i="15" s="1"/>
  <c r="Q17" i="15" s="1"/>
  <c r="BN9" i="5" s="1"/>
  <c r="F23" i="7"/>
  <c r="G22" i="7"/>
  <c r="E23" i="12"/>
  <c r="E30" i="16"/>
  <c r="E31" i="16" s="1"/>
  <c r="E4" i="16"/>
  <c r="E9" i="16"/>
  <c r="E7" i="13"/>
  <c r="E6" i="13"/>
  <c r="F6" i="13"/>
  <c r="F7" i="13"/>
  <c r="H4" i="16" l="1"/>
  <c r="G10" i="11"/>
  <c r="G17" i="12" s="1"/>
  <c r="G20" i="12" s="1"/>
  <c r="BN24" i="5"/>
  <c r="BW2" i="4"/>
  <c r="C25" i="12"/>
  <c r="D22" i="12"/>
  <c r="BW4" i="4"/>
  <c r="CA3" i="4"/>
  <c r="BV4" i="4"/>
  <c r="C6" i="13"/>
  <c r="C7" i="13"/>
  <c r="M13" i="7"/>
  <c r="N13" i="7" s="1"/>
  <c r="N12" i="7"/>
  <c r="BV2" i="4"/>
  <c r="G5" i="13"/>
  <c r="G5" i="11"/>
  <c r="G6" i="12"/>
  <c r="C37" i="16"/>
  <c r="C38" i="16" s="1"/>
  <c r="D38" i="14"/>
  <c r="D39" i="14" s="1"/>
  <c r="F24" i="7"/>
  <c r="G23" i="7"/>
  <c r="G7" i="11" l="1"/>
  <c r="G8" i="11" s="1"/>
  <c r="G11" i="11" s="1"/>
  <c r="G13" i="11" s="1"/>
  <c r="CC3" i="4"/>
  <c r="BY4" i="4"/>
  <c r="E22" i="12"/>
  <c r="D25" i="12"/>
  <c r="BX2" i="4"/>
  <c r="C26" i="16"/>
  <c r="C27" i="16" s="1"/>
  <c r="C27" i="12"/>
  <c r="C5" i="12" s="1"/>
  <c r="C8" i="12" s="1"/>
  <c r="C14" i="12" s="1"/>
  <c r="M5" i="12"/>
  <c r="G11" i="14"/>
  <c r="BY2" i="4"/>
  <c r="E38" i="14"/>
  <c r="E39" i="14" s="1"/>
  <c r="D37" i="16"/>
  <c r="D38" i="16" s="1"/>
  <c r="BX4" i="4"/>
  <c r="G6" i="11"/>
  <c r="CB3" i="4"/>
  <c r="CD3" i="4" s="1"/>
  <c r="F25" i="7"/>
  <c r="G24" i="7"/>
  <c r="M7" i="12" l="1"/>
  <c r="B40" i="16" s="1"/>
  <c r="BZ2" i="4"/>
  <c r="BZ4" i="4"/>
  <c r="CA4" i="4"/>
  <c r="F38" i="14"/>
  <c r="F39" i="14" s="1"/>
  <c r="E37" i="16"/>
  <c r="E38" i="16" s="1"/>
  <c r="CA2" i="4"/>
  <c r="G4" i="14"/>
  <c r="G8" i="14" s="1"/>
  <c r="G13" i="14" s="1"/>
  <c r="G17" i="11"/>
  <c r="G18" i="11" s="1"/>
  <c r="CE3" i="4"/>
  <c r="C41" i="16"/>
  <c r="D27" i="12"/>
  <c r="D5" i="12" s="1"/>
  <c r="D8" i="12" s="1"/>
  <c r="D14" i="12" s="1"/>
  <c r="D26" i="16"/>
  <c r="D27" i="16" s="1"/>
  <c r="E25" i="12"/>
  <c r="F22" i="12"/>
  <c r="CF3" i="4"/>
  <c r="F26" i="7"/>
  <c r="G25" i="7"/>
  <c r="CC2" i="4" l="1"/>
  <c r="F37" i="16"/>
  <c r="F38" i="16" s="1"/>
  <c r="G38" i="14"/>
  <c r="CC4" i="4"/>
  <c r="CH3" i="4"/>
  <c r="E27" i="12"/>
  <c r="E5" i="12" s="1"/>
  <c r="E8" i="12" s="1"/>
  <c r="E14" i="12" s="1"/>
  <c r="E26" i="16"/>
  <c r="E27" i="16" s="1"/>
  <c r="D41" i="16"/>
  <c r="F25" i="12"/>
  <c r="G22" i="12"/>
  <c r="CB4" i="4"/>
  <c r="CD4" i="4" s="1"/>
  <c r="CG3" i="4"/>
  <c r="CB2" i="4"/>
  <c r="CD2" i="4" s="1"/>
  <c r="G19" i="11"/>
  <c r="B21" i="16" s="1"/>
  <c r="G17" i="14"/>
  <c r="G22" i="14" s="1"/>
  <c r="G37" i="14" s="1"/>
  <c r="G4" i="13"/>
  <c r="F27" i="7"/>
  <c r="G26" i="7"/>
  <c r="G39" i="14" l="1"/>
  <c r="H38" i="14" s="1"/>
  <c r="G9" i="16"/>
  <c r="A9" i="16" s="1"/>
  <c r="G23" i="12"/>
  <c r="G30" i="16"/>
  <c r="G31" i="16" s="1"/>
  <c r="CJ3" i="4"/>
  <c r="CE4" i="4"/>
  <c r="CF2" i="4"/>
  <c r="CF4" i="4"/>
  <c r="G6" i="13"/>
  <c r="G7" i="13"/>
  <c r="CE2" i="4"/>
  <c r="CI3" i="4"/>
  <c r="F26" i="16"/>
  <c r="F27" i="16" s="1"/>
  <c r="E41" i="16"/>
  <c r="F27" i="12"/>
  <c r="F5" i="12" s="1"/>
  <c r="F8" i="12" s="1"/>
  <c r="F14" i="12" s="1"/>
  <c r="F28" i="7"/>
  <c r="G27" i="7"/>
  <c r="G25" i="12" l="1"/>
  <c r="G27" i="12" s="1"/>
  <c r="G5" i="12" s="1"/>
  <c r="G8" i="12" s="1"/>
  <c r="G14" i="12" s="1"/>
  <c r="G37" i="16"/>
  <c r="G38" i="16" s="1"/>
  <c r="B39" i="16" s="1"/>
  <c r="CL3" i="4"/>
  <c r="CG2" i="4"/>
  <c r="CH4" i="4"/>
  <c r="CH2" i="4"/>
  <c r="CG4" i="4"/>
  <c r="CK3" i="4"/>
  <c r="F29" i="7"/>
  <c r="G28" i="7"/>
  <c r="F41" i="16" l="1"/>
  <c r="G26" i="16"/>
  <c r="G27" i="16" s="1"/>
  <c r="B41" i="16"/>
  <c r="B43" i="16" s="1"/>
  <c r="B44" i="16" s="1"/>
  <c r="I44" i="16" s="1"/>
  <c r="CJ2" i="4"/>
  <c r="H11" i="14"/>
  <c r="CM3" i="4"/>
  <c r="CJ4" i="4"/>
  <c r="CI4" i="4"/>
  <c r="CI2" i="4"/>
  <c r="CN3" i="4"/>
  <c r="F30" i="7"/>
  <c r="G29" i="7"/>
  <c r="CK2" i="4" l="1"/>
  <c r="H4" i="14"/>
  <c r="H8" i="14" s="1"/>
  <c r="H13" i="14" s="1"/>
  <c r="CL2" i="4"/>
  <c r="CK4" i="4"/>
  <c r="CL4" i="4"/>
  <c r="CO3" i="4"/>
  <c r="F31" i="7"/>
  <c r="G30" i="7"/>
  <c r="CN2" i="4" l="1"/>
  <c r="CM4" i="4"/>
  <c r="CO2" i="4"/>
  <c r="H17" i="14"/>
  <c r="H22" i="14" s="1"/>
  <c r="H37" i="14" s="1"/>
  <c r="H39" i="14" s="1"/>
  <c r="CM2" i="4"/>
  <c r="CN4" i="4"/>
  <c r="CO4" i="4" s="1"/>
  <c r="F32" i="7"/>
  <c r="G31" i="7"/>
  <c r="I38" i="14" l="1"/>
  <c r="F33" i="7"/>
  <c r="G33" i="7" s="1"/>
  <c r="G32" i="7"/>
  <c r="I4" i="14" l="1"/>
  <c r="I8" i="14" s="1"/>
  <c r="I11" i="14" l="1"/>
  <c r="I13" i="14" s="1"/>
  <c r="I17" i="14"/>
  <c r="I22" i="14" l="1"/>
  <c r="I37" i="14" s="1"/>
  <c r="I39" i="14" s="1"/>
</calcChain>
</file>

<file path=xl/sharedStrings.xml><?xml version="1.0" encoding="utf-8"?>
<sst xmlns="http://schemas.openxmlformats.org/spreadsheetml/2006/main" count="941" uniqueCount="504">
  <si>
    <t>Mois 1</t>
  </si>
  <si>
    <t>Mois 2</t>
  </si>
  <si>
    <t>Mois 3</t>
  </si>
  <si>
    <t>Mois 4</t>
  </si>
  <si>
    <t>Mois 5</t>
  </si>
  <si>
    <t>Mois 6</t>
  </si>
  <si>
    <t>Mois 7</t>
  </si>
  <si>
    <t>Mois 8</t>
  </si>
  <si>
    <t>Mois 9</t>
  </si>
  <si>
    <t>Mois 10</t>
  </si>
  <si>
    <t>Mois 11</t>
  </si>
  <si>
    <t>Mois 12</t>
  </si>
  <si>
    <t>Année 1</t>
  </si>
  <si>
    <t>Mois 13</t>
  </si>
  <si>
    <t>Mois 14</t>
  </si>
  <si>
    <t>Mois 15</t>
  </si>
  <si>
    <t>Mois 16</t>
  </si>
  <si>
    <t>Mois 17</t>
  </si>
  <si>
    <t>Mois 18</t>
  </si>
  <si>
    <t>Mois 19</t>
  </si>
  <si>
    <t>Mois 20</t>
  </si>
  <si>
    <t>Mois 21</t>
  </si>
  <si>
    <t>Mois 22</t>
  </si>
  <si>
    <t>Mois 23</t>
  </si>
  <si>
    <t>Mois 24</t>
  </si>
  <si>
    <t>Année 2</t>
  </si>
  <si>
    <t>Mois 25</t>
  </si>
  <si>
    <t>Mois 26</t>
  </si>
  <si>
    <t>Mois 27</t>
  </si>
  <si>
    <t>Mois 28</t>
  </si>
  <si>
    <t>Mois 29</t>
  </si>
  <si>
    <t>Mois 30</t>
  </si>
  <si>
    <t>Mois 31</t>
  </si>
  <si>
    <t>Mois 32</t>
  </si>
  <si>
    <t>Mois 33</t>
  </si>
  <si>
    <t>Mois 34</t>
  </si>
  <si>
    <t>Mois 35</t>
  </si>
  <si>
    <t>Mois 36</t>
  </si>
  <si>
    <t>Année 3</t>
  </si>
  <si>
    <t>Mois 37</t>
  </si>
  <si>
    <t>Mois 38</t>
  </si>
  <si>
    <t>Mois 39</t>
  </si>
  <si>
    <t>Mois 40</t>
  </si>
  <si>
    <t>Mois 41</t>
  </si>
  <si>
    <t>Mois 42</t>
  </si>
  <si>
    <t>Mois 43</t>
  </si>
  <si>
    <t>Mois 44</t>
  </si>
  <si>
    <t>Mois 45</t>
  </si>
  <si>
    <t>Mois 46</t>
  </si>
  <si>
    <t>Mois 47</t>
  </si>
  <si>
    <t>Mois 48</t>
  </si>
  <si>
    <t>Année 4</t>
  </si>
  <si>
    <t>Mois 49</t>
  </si>
  <si>
    <t>Mois 50</t>
  </si>
  <si>
    <t>Mois 51</t>
  </si>
  <si>
    <t>Mois 52</t>
  </si>
  <si>
    <t>Mois 53</t>
  </si>
  <si>
    <t>Mois 54</t>
  </si>
  <si>
    <t>Mois 55</t>
  </si>
  <si>
    <t>Mois 56</t>
  </si>
  <si>
    <t>Mois 57</t>
  </si>
  <si>
    <t>Mois 58</t>
  </si>
  <si>
    <t>Mois 59</t>
  </si>
  <si>
    <t>Mois 60</t>
  </si>
  <si>
    <t>Année 5</t>
  </si>
  <si>
    <t>Produit ou Service 1</t>
  </si>
  <si>
    <t>Produit ou Service 2</t>
  </si>
  <si>
    <t>Produit ou Service 3</t>
  </si>
  <si>
    <t>Produit ou Service 4</t>
  </si>
  <si>
    <t>Produit ou Service 5</t>
  </si>
  <si>
    <t>Produit ou Service 6</t>
  </si>
  <si>
    <t>Produit ou Service 7</t>
  </si>
  <si>
    <t>Produit ou Service 8</t>
  </si>
  <si>
    <t>Produit ou Service 9</t>
  </si>
  <si>
    <t>Produit ou Service 10</t>
  </si>
  <si>
    <t>Produit ou Service 11</t>
  </si>
  <si>
    <t>Produit ou Service 12</t>
  </si>
  <si>
    <t>Produit ou Service 13</t>
  </si>
  <si>
    <t>Produit ou Service 14</t>
  </si>
  <si>
    <t>Produit ou Service 15</t>
  </si>
  <si>
    <t>Produit ou Service 16</t>
  </si>
  <si>
    <t>Produit ou Service 17</t>
  </si>
  <si>
    <t>Produit ou Service 18</t>
  </si>
  <si>
    <t>Produit ou Service 19</t>
  </si>
  <si>
    <t>Produit ou Service 20</t>
  </si>
  <si>
    <t>Prix année 1</t>
  </si>
  <si>
    <t>Prix année 2</t>
  </si>
  <si>
    <t>Prix année 3</t>
  </si>
  <si>
    <t>Prix année 4</t>
  </si>
  <si>
    <t>Prix année 5</t>
  </si>
  <si>
    <t>Nom du produit ou service</t>
  </si>
  <si>
    <t>Nom du produit ou du service</t>
  </si>
  <si>
    <t>Prix année 6</t>
  </si>
  <si>
    <t>Prix année 7</t>
  </si>
  <si>
    <t>Mois 61</t>
  </si>
  <si>
    <t>Mois 62</t>
  </si>
  <si>
    <t>Mois 63</t>
  </si>
  <si>
    <t>Mois 64</t>
  </si>
  <si>
    <t>Mois 65</t>
  </si>
  <si>
    <t>Mois 66</t>
  </si>
  <si>
    <t>Mois 67</t>
  </si>
  <si>
    <t>Mois 68</t>
  </si>
  <si>
    <t>Mois 69</t>
  </si>
  <si>
    <t>Mois 70</t>
  </si>
  <si>
    <t>Mois 71</t>
  </si>
  <si>
    <t>Mois 72</t>
  </si>
  <si>
    <t>Année 6</t>
  </si>
  <si>
    <t>Mois 73</t>
  </si>
  <si>
    <t>Mois 74</t>
  </si>
  <si>
    <t>Mois 75</t>
  </si>
  <si>
    <t>Mois 76</t>
  </si>
  <si>
    <t>Mois 77</t>
  </si>
  <si>
    <t>Mois 78</t>
  </si>
  <si>
    <t>Mois 79</t>
  </si>
  <si>
    <t>Mois 80</t>
  </si>
  <si>
    <t>Mois 81</t>
  </si>
  <si>
    <t>Mois 82</t>
  </si>
  <si>
    <t>Mois 83</t>
  </si>
  <si>
    <t>Mois 84</t>
  </si>
  <si>
    <t>Année 7</t>
  </si>
  <si>
    <t>Achats de marchandises</t>
  </si>
  <si>
    <t>TOTAL DES CHARGES VARIABLES</t>
  </si>
  <si>
    <t>TOTAL DES CHARGES FIXES</t>
  </si>
  <si>
    <t>Achats de matières premières</t>
  </si>
  <si>
    <t>Publicité, publications, relations publiques</t>
  </si>
  <si>
    <t>Variation de stock des marchandises</t>
  </si>
  <si>
    <t>Variation de stock des matières premières</t>
  </si>
  <si>
    <t>Achats stockés de matières et fournitures consommables</t>
  </si>
  <si>
    <t>Autres achats (achats d'études et prestation de services)</t>
  </si>
  <si>
    <t>Achats d'emballages</t>
  </si>
  <si>
    <t>Transport sur achats</t>
  </si>
  <si>
    <t>Transports sur ventes</t>
  </si>
  <si>
    <t>Transport pour le compte de tiers</t>
  </si>
  <si>
    <t xml:space="preserve">Transport de plis </t>
  </si>
  <si>
    <t>Autres frais de transport (Voyage, déplacement)</t>
  </si>
  <si>
    <t>Sous traitance générale</t>
  </si>
  <si>
    <t>Frais de télécommunications</t>
  </si>
  <si>
    <t>Frais bancaires</t>
  </si>
  <si>
    <t>Rémunérations d’intermédiaires et de conseils</t>
  </si>
  <si>
    <t>Frais de formation du personnel</t>
  </si>
  <si>
    <t>Redevances pour brevets, licences, logiciels et droits similaires</t>
  </si>
  <si>
    <t>Rémunérations de personnel extérieur à l’entreprise</t>
  </si>
  <si>
    <t>Autres charges externes (Frais de recrutement, de déménagement)</t>
  </si>
  <si>
    <t>Locations et charges locatives</t>
  </si>
  <si>
    <t>Redevances de crédit bail et contrats assimilés</t>
  </si>
  <si>
    <t>Entretien, Réparation et Maintenance</t>
  </si>
  <si>
    <t>Prime d'assurances</t>
  </si>
  <si>
    <t>Etudes, recherche et documentation</t>
  </si>
  <si>
    <t>Cotisations</t>
  </si>
  <si>
    <t>Impots fonciers et taxes annexes</t>
  </si>
  <si>
    <t>Patentes, licences et taxes annexes</t>
  </si>
  <si>
    <t>Taxes sur appointements et salaires</t>
  </si>
  <si>
    <t>Taxes d'apprentissage</t>
  </si>
  <si>
    <t>Formation professionnelle continue</t>
  </si>
  <si>
    <t>Autres impôts et taxes directs</t>
  </si>
  <si>
    <t>Droits d'enregistrements</t>
  </si>
  <si>
    <t xml:space="preserve">Rémunérations versées au personnel </t>
  </si>
  <si>
    <t>Indemnité forfaitaire versée au personnel</t>
  </si>
  <si>
    <t>Charges sociales</t>
  </si>
  <si>
    <t>Intérêts sur emprunt</t>
  </si>
  <si>
    <t>Intérêt dans loyer de crédit bail</t>
  </si>
  <si>
    <t>Escomptes accordés</t>
  </si>
  <si>
    <t>Autres intérets</t>
  </si>
  <si>
    <t>Perte de change</t>
  </si>
  <si>
    <t>Frais de constitution</t>
  </si>
  <si>
    <t>Frais de propection</t>
  </si>
  <si>
    <t>Frais de publicité et de lancement</t>
  </si>
  <si>
    <t>Frais de fonctionnement antérieur au démarrage</t>
  </si>
  <si>
    <t>Frais de modification de capital</t>
  </si>
  <si>
    <t>Frais d'entrée en bourse</t>
  </si>
  <si>
    <t>Frais de restructuration</t>
  </si>
  <si>
    <t>Frais divers d'établissement</t>
  </si>
  <si>
    <t>Charges à répartir sur plusieurs exercices</t>
  </si>
  <si>
    <t>Primes de remboursement des obligations</t>
  </si>
  <si>
    <t>Frais de recherche et développement</t>
  </si>
  <si>
    <t>Brevets, licences, concessions et droits similaires</t>
  </si>
  <si>
    <t>Logiciel</t>
  </si>
  <si>
    <t>Marques</t>
  </si>
  <si>
    <t>Fonds commercial</t>
  </si>
  <si>
    <t>Droit au bail</t>
  </si>
  <si>
    <t>Investissements de création</t>
  </si>
  <si>
    <t>Autres droits et valeurs incorporelles</t>
  </si>
  <si>
    <t>Immobilisation incorporelles en cours</t>
  </si>
  <si>
    <t>Terrains agricoles et forestiers</t>
  </si>
  <si>
    <t>Terrains nus</t>
  </si>
  <si>
    <t xml:space="preserve">Terrains batis </t>
  </si>
  <si>
    <t>Travaux de mise en valeur des terrains</t>
  </si>
  <si>
    <t>Terrains de gisement</t>
  </si>
  <si>
    <t>Terrains aménagés</t>
  </si>
  <si>
    <t>Terrains mis en concession</t>
  </si>
  <si>
    <t>Autres terrains</t>
  </si>
  <si>
    <t>Aménagement de terrain en cours</t>
  </si>
  <si>
    <t>Batiment sur sol propre</t>
  </si>
  <si>
    <t>Batiment sur sol d'autrui</t>
  </si>
  <si>
    <t>Ouvrage d'infrastructure</t>
  </si>
  <si>
    <t>Installations techniques</t>
  </si>
  <si>
    <t>Aménagement de bureaux</t>
  </si>
  <si>
    <t>Batiment mis en concession</t>
  </si>
  <si>
    <t>Autres installations et agencements</t>
  </si>
  <si>
    <t>Batiments et installations en cours</t>
  </si>
  <si>
    <t>Martériel et outillage agricole</t>
  </si>
  <si>
    <t>Matériel d’emballage récupérable et identifiable</t>
  </si>
  <si>
    <t>Matériel et mobilier</t>
  </si>
  <si>
    <t>Matériel de transport</t>
  </si>
  <si>
    <t>Cheptel, animaux de trait</t>
  </si>
  <si>
    <t>Cheptel, animaux reproducteurs</t>
  </si>
  <si>
    <t>Animaux de garde</t>
  </si>
  <si>
    <t>Plantations agricoles</t>
  </si>
  <si>
    <t>Agencements et aménagements du matériel</t>
  </si>
  <si>
    <t>Autres matériels</t>
  </si>
  <si>
    <t>Matériel en cours</t>
  </si>
  <si>
    <t>Avances et acomptes versés sur immobilisations incorporelles</t>
  </si>
  <si>
    <t>TOTAL DES INVESTISSEMENTS</t>
  </si>
  <si>
    <t>Avances et acomptes versés sur immobilisations corporelles</t>
  </si>
  <si>
    <t>Titres de participation</t>
  </si>
  <si>
    <t>Prêts et créances non commerciales</t>
  </si>
  <si>
    <t>Prêts au personnel</t>
  </si>
  <si>
    <t>Créances sur l’État</t>
  </si>
  <si>
    <t>Titres immobilisés</t>
  </si>
  <si>
    <t xml:space="preserve"> Dépôts et cautionnements versés</t>
  </si>
  <si>
    <t xml:space="preserve"> Intérêts courus</t>
  </si>
  <si>
    <t>Créances rattachées à des participations et avances à des GIE</t>
  </si>
  <si>
    <t>Immobilisations financières diverses</t>
  </si>
  <si>
    <t>Nature de l'investissement</t>
  </si>
  <si>
    <t xml:space="preserve">Année </t>
  </si>
  <si>
    <t>Base d'amortissement</t>
  </si>
  <si>
    <t>Taux</t>
  </si>
  <si>
    <t>Dotations / Annuités</t>
  </si>
  <si>
    <t>VNA</t>
  </si>
  <si>
    <t>Cumul des Amortissements</t>
  </si>
  <si>
    <t>Amortissement des immobilisations incorporelles (5 ans)</t>
  </si>
  <si>
    <t>Amortissement des immobilisations corporelles (Batiments : 20 ans)</t>
  </si>
  <si>
    <t>Matériel et outillage industriel</t>
  </si>
  <si>
    <t>Amortissement des immobilisations corporelles (Mobilier : 10 ans)</t>
  </si>
  <si>
    <t>Amortissement des immobilisations corporelles (Matériel et outillage; animaux; cheptel;plantations agricoles: 5 ans)</t>
  </si>
  <si>
    <t>TOTAL Marchandises / matières premières et fournitures</t>
  </si>
  <si>
    <t>Frais de premier fonctionnement</t>
  </si>
  <si>
    <t>Total des Investissements</t>
  </si>
  <si>
    <t>Immobilisations incorporelles</t>
  </si>
  <si>
    <t>Immobilisations corporelles</t>
  </si>
  <si>
    <t>Immobilisations financières</t>
  </si>
  <si>
    <t>Marchandises / Matières premières et fournitures</t>
  </si>
  <si>
    <t>Apport en capital</t>
  </si>
  <si>
    <t>Apport en compte courant associés</t>
  </si>
  <si>
    <t>TOTAL</t>
  </si>
  <si>
    <t xml:space="preserve">COUT TOTAL DU PROJET </t>
  </si>
  <si>
    <t>Schéma de financement</t>
  </si>
  <si>
    <t>Crédit fournisseurs</t>
  </si>
  <si>
    <t>Coût du projet</t>
  </si>
  <si>
    <t>Montant des investissements</t>
  </si>
  <si>
    <t>Besoin en fonds de roulement</t>
  </si>
  <si>
    <t xml:space="preserve">Crédit bail </t>
  </si>
  <si>
    <t xml:space="preserve">CMT - Remboursement par amortissement constant du capital </t>
  </si>
  <si>
    <t xml:space="preserve">Somme empruntée </t>
  </si>
  <si>
    <t xml:space="preserve">Taux d'intérêt annuel </t>
  </si>
  <si>
    <t xml:space="preserve">La durée de l'emprunt n </t>
  </si>
  <si>
    <t>Période n</t>
  </si>
  <si>
    <t>Capital du en début de période</t>
  </si>
  <si>
    <t>Intérêt (i)</t>
  </si>
  <si>
    <t>Amortissements</t>
  </si>
  <si>
    <t xml:space="preserve">Annuités </t>
  </si>
  <si>
    <t xml:space="preserve">CREDIT BAIL - REMBOURSEMENT PAR AMORTISSEMENT CONSTANT </t>
  </si>
  <si>
    <t>Somme empruntée</t>
  </si>
  <si>
    <t>Taux d'intérêt annuel</t>
  </si>
  <si>
    <t>La durée de l'emprunt n</t>
  </si>
  <si>
    <t>Le loyer en FCFA</t>
  </si>
  <si>
    <t>Loyer en Euros</t>
  </si>
  <si>
    <t>2</t>
  </si>
  <si>
    <t>3</t>
  </si>
  <si>
    <t xml:space="preserve">CMT - Remboursement par amortissement constant du capital - </t>
  </si>
  <si>
    <t>COMPTE COURANT ASSOCIE</t>
  </si>
  <si>
    <t>En FCFA</t>
  </si>
  <si>
    <t>Chiffre d'affaires (CA)</t>
  </si>
  <si>
    <t>Charges variables / Achats consommés</t>
  </si>
  <si>
    <t>Marge brute</t>
  </si>
  <si>
    <t>Taux de marge sur couts variables</t>
  </si>
  <si>
    <t>Charges fixes / Charges externes</t>
  </si>
  <si>
    <t>Valeur Ajoutée</t>
  </si>
  <si>
    <t>Rémunérations</t>
  </si>
  <si>
    <t>Impôts et taxes</t>
  </si>
  <si>
    <t>Excédent Brut d'Exploitation</t>
  </si>
  <si>
    <t>Dotations aux amortissements</t>
  </si>
  <si>
    <t>Résultat d'exploitation</t>
  </si>
  <si>
    <t>Produits financiers</t>
  </si>
  <si>
    <t>Charges financières</t>
  </si>
  <si>
    <t>Résultat financier</t>
  </si>
  <si>
    <t>Résultat avant impôts</t>
  </si>
  <si>
    <t>Impôts</t>
  </si>
  <si>
    <t>Résultat net</t>
  </si>
  <si>
    <t>En  FCFA</t>
  </si>
  <si>
    <t>N1</t>
  </si>
  <si>
    <t>N2</t>
  </si>
  <si>
    <t>N3</t>
  </si>
  <si>
    <t>N4</t>
  </si>
  <si>
    <t>N5</t>
  </si>
  <si>
    <t>Trésorerie</t>
  </si>
  <si>
    <t>Créances clients</t>
  </si>
  <si>
    <t>Stock</t>
  </si>
  <si>
    <t>Total actifs circulants</t>
  </si>
  <si>
    <t>Immobilisations</t>
  </si>
  <si>
    <t>Amortissement</t>
  </si>
  <si>
    <t>Valeur net comptable</t>
  </si>
  <si>
    <t>Total actifs</t>
  </si>
  <si>
    <t>Dette fournisseurs</t>
  </si>
  <si>
    <t>Dettes fiscales et sociales</t>
  </si>
  <si>
    <t>Emprunts (Crédit bail et CMT)</t>
  </si>
  <si>
    <t>Total dettes</t>
  </si>
  <si>
    <t>Capital social</t>
  </si>
  <si>
    <t>Report à nouveau</t>
  </si>
  <si>
    <t>Résultats de l’exercice</t>
  </si>
  <si>
    <t>Compte courant associé</t>
  </si>
  <si>
    <t>Fonds propres</t>
  </si>
  <si>
    <t>Total passif</t>
  </si>
  <si>
    <t>N6</t>
  </si>
  <si>
    <t>N7</t>
  </si>
  <si>
    <t>-</t>
  </si>
  <si>
    <t>Seuil de rentabilité</t>
  </si>
  <si>
    <t>TABLEAU DES FLUX DE TRESORERIE de l'O.E.C. à partir du résultat d'exploitation</t>
  </si>
  <si>
    <t>Eléments</t>
  </si>
  <si>
    <t>FLUX DE TRESORERIE LIES A L'EXPLOITATION</t>
  </si>
  <si>
    <t>Elimination des charges et des produits sans incidence sur la trésorerie ou non liés à l'activité :</t>
  </si>
  <si>
    <t>+</t>
  </si>
  <si>
    <t>Dotations aux amortissements et aux provisions nettes des reprises (sauf celles portant sur l'actif circulant)</t>
  </si>
  <si>
    <t>Transferts de charges au compte de charges à répartir</t>
  </si>
  <si>
    <t>=</t>
  </si>
  <si>
    <t>Résultat brut d'exploitation</t>
  </si>
  <si>
    <r>
      <t>Variation du Besoin en Fonds de Roulement d'Exploitation (</t>
    </r>
    <r>
      <rPr>
        <sz val="12"/>
        <rFont val="Wingdings 3"/>
        <family val="1"/>
        <charset val="2"/>
      </rPr>
      <t>r</t>
    </r>
    <r>
      <rPr>
        <sz val="12"/>
        <rFont val="Times New Roman"/>
        <family val="1"/>
      </rPr>
      <t xml:space="preserve"> B.F.R.E.) :</t>
    </r>
  </si>
  <si>
    <t>Variation des stocks</t>
  </si>
  <si>
    <t>Variation des créances d'exploitation</t>
  </si>
  <si>
    <t>variation des dettes d'exploitation</t>
  </si>
  <si>
    <t>Flux net de trésorerie d'exploitation</t>
  </si>
  <si>
    <t>Autres encaissements et décaissements liés à l'activité:</t>
  </si>
  <si>
    <t>Frais financiers</t>
  </si>
  <si>
    <t>Impôt sur les sociétés, hors impôt sur les plus-values de cession</t>
  </si>
  <si>
    <t>Charges exceptionnelles liées à l'activité</t>
  </si>
  <si>
    <t>Produits exceptionnels liées à l'activité</t>
  </si>
  <si>
    <t>Autres créances liées à l'activité</t>
  </si>
  <si>
    <t>Autres dettes liées à l'activité (y compris intérêts courus)</t>
  </si>
  <si>
    <t>Flux net de trésorerie généré par l'activité (A)</t>
  </si>
  <si>
    <t>FLUX DE TRESORERIE LIES A L'INVESTISSEMENT</t>
  </si>
  <si>
    <t>Acquisitions d'immobilisations</t>
  </si>
  <si>
    <t>Cessions d'immobilisations nettes d'impôts</t>
  </si>
  <si>
    <t>Réductions d'immobilisations financières</t>
  </si>
  <si>
    <t xml:space="preserve"> + / -</t>
  </si>
  <si>
    <t>Variation des autres postes (dettes et créances) relatifs aux immobilisations</t>
  </si>
  <si>
    <t>Flux net de trésorerie lié aux opérations d'investissement (B)</t>
  </si>
  <si>
    <t>FLUX DE TRESORERIE LIES AU FINANCEMENT</t>
  </si>
  <si>
    <t>Augmentation de capital en numéraire</t>
  </si>
  <si>
    <t>Réduction de capital</t>
  </si>
  <si>
    <t>Dividendes versés</t>
  </si>
  <si>
    <t>Emissions d'emprunts</t>
  </si>
  <si>
    <t>Remboursements d'emprunts</t>
  </si>
  <si>
    <t>Subventions d'investissement reçues</t>
  </si>
  <si>
    <t>Flux net de trésorerie lié aux opérations de financement (C)</t>
  </si>
  <si>
    <t>VARIATION DE TRESORERIE (A + B + C)</t>
  </si>
  <si>
    <t>Trésorerie d'ouverture</t>
  </si>
  <si>
    <t>Trésorerie de clôture</t>
  </si>
  <si>
    <t>TOTAL DU CHIFFRE D'AFFAIRES</t>
  </si>
  <si>
    <t>Patentes</t>
  </si>
  <si>
    <t>année 1</t>
  </si>
  <si>
    <t>année 2</t>
  </si>
  <si>
    <t>année 3</t>
  </si>
  <si>
    <t>année 4</t>
  </si>
  <si>
    <t>année 5</t>
  </si>
  <si>
    <t>Inférieur à 1 000 000</t>
  </si>
  <si>
    <t>Entre 1 000 000 et 20 000 000</t>
  </si>
  <si>
    <t>Taux de contribution de la patente</t>
  </si>
  <si>
    <t>Entre 20 000 001 et 40 000 000</t>
  </si>
  <si>
    <t>Entre 40 000 001 et 100 000 000</t>
  </si>
  <si>
    <t>Entre 100 000 001 et 300 000 000</t>
  </si>
  <si>
    <t>Entre 300 000 001 et 500 000 000</t>
  </si>
  <si>
    <t>Entre 500 000 001 et 1 000 000 000</t>
  </si>
  <si>
    <t>Entre 1000 000 001 et 3 000 000 000</t>
  </si>
  <si>
    <t>Entre 300 000 001 et 20 000 000 000</t>
  </si>
  <si>
    <t>Plus de 20 000 000 000</t>
  </si>
  <si>
    <t>Part min du CA</t>
  </si>
  <si>
    <t>Plafonds du CA</t>
  </si>
  <si>
    <t>Montant de la patente à payer</t>
  </si>
  <si>
    <t>Impôts forfaitaire Global</t>
  </si>
  <si>
    <t>Taux sur le chiffre d'affaires</t>
  </si>
  <si>
    <t>Taux sur la marge</t>
  </si>
  <si>
    <t xml:space="preserve">Impots sur les sociétés </t>
  </si>
  <si>
    <t>IS</t>
  </si>
  <si>
    <t>Impots fonciers</t>
  </si>
  <si>
    <t>Centimes additionnels au droit d'enregistrement</t>
  </si>
  <si>
    <t xml:space="preserve">Taux </t>
  </si>
  <si>
    <t>Frais de publicité foncière</t>
  </si>
  <si>
    <t>Frais de travaux cadastraux et topographiques</t>
  </si>
  <si>
    <t>Montant du droit fixe forfaitaire</t>
  </si>
  <si>
    <t xml:space="preserve">Impot à payer </t>
  </si>
  <si>
    <t>Taxe unique sur les salaires</t>
  </si>
  <si>
    <t>TUS</t>
  </si>
  <si>
    <t>Taxe d'occupation des locaux</t>
  </si>
  <si>
    <t>Petites entreprises</t>
  </si>
  <si>
    <t>Moyennes entreprises</t>
  </si>
  <si>
    <t>Grande entreprise</t>
  </si>
  <si>
    <t>Année 8</t>
  </si>
  <si>
    <t>z</t>
  </si>
  <si>
    <t>Objectif de la dette fournisseur en pourcentage des charges variables</t>
  </si>
  <si>
    <t>Objectif des créances clients en pourcentage du Chiffre d'affaires</t>
  </si>
  <si>
    <t>Stock de sécurité en pourcentage des matières premières et des marchandises</t>
  </si>
  <si>
    <t>CA/360</t>
  </si>
  <si>
    <t>Point mort (en jours)</t>
  </si>
  <si>
    <t>Part du seuil de rentabilité dans le CA</t>
  </si>
  <si>
    <t>FONDS DE ROULEMENT</t>
  </si>
  <si>
    <t>besoins en Fonds de roulements</t>
  </si>
  <si>
    <t>autofinancement</t>
  </si>
  <si>
    <t>CREDIT A COURT - MOYEN TERME</t>
  </si>
  <si>
    <t>Emprunts bancaires classique (CMT)</t>
  </si>
  <si>
    <t>Taux d'actualisation</t>
  </si>
  <si>
    <t>Flux de trésorerie n1</t>
  </si>
  <si>
    <t>Flux de trésorerie n2</t>
  </si>
  <si>
    <t>Flux de trésorerie n3</t>
  </si>
  <si>
    <t>Flux de trésorerie n4</t>
  </si>
  <si>
    <t>Flux de trésorerie n5</t>
  </si>
  <si>
    <t>VALEUR ACTUELLE NETTE</t>
  </si>
  <si>
    <t>CALCUL DU TRI</t>
  </si>
  <si>
    <t>CALCUL DE LA VAN</t>
  </si>
  <si>
    <t>TAUX INTERNE DE RENTABILITE (TRI)</t>
  </si>
  <si>
    <t>Cout initial d'investissement (Mettre - la valeur)</t>
  </si>
  <si>
    <t>Cout initial d'investissement (Mettre la valeur sans le -)</t>
  </si>
  <si>
    <t>DELAI DE RECUPERATION DES CAPITAUX INVESTIS</t>
  </si>
  <si>
    <t>Année</t>
  </si>
  <si>
    <t>Flux de trésorerie</t>
  </si>
  <si>
    <t>Flux de trésorerie Cumulés</t>
  </si>
  <si>
    <t>CALCUL DU DRCI</t>
  </si>
  <si>
    <t>INDICE DE PROFITABILITE</t>
  </si>
  <si>
    <t>Politique de ditribution des dividendes en pourcentage du résultat net</t>
  </si>
  <si>
    <t>Nombre d'actions existantes</t>
  </si>
  <si>
    <t xml:space="preserve">Montant du capital </t>
  </si>
  <si>
    <t>Montant à distribuer</t>
  </si>
  <si>
    <t>POLITIQUE DE DISTRIBUTION DES DIVIDENDES</t>
  </si>
  <si>
    <t>Dividende versé par actions</t>
  </si>
  <si>
    <t xml:space="preserve">Valeur d'une action </t>
  </si>
  <si>
    <t>Taux de croissance de la valeur de l'action</t>
  </si>
  <si>
    <t>EVALUTION DE L'ENTREPRISE DCF</t>
  </si>
  <si>
    <t>Cout moyen pondéré du capital</t>
  </si>
  <si>
    <t>Taux de croissance à l'infini</t>
  </si>
  <si>
    <t>Flux trésorerie actualisés</t>
  </si>
  <si>
    <t>Somme des flux de trésorerie actualisés</t>
  </si>
  <si>
    <t>Mangue</t>
  </si>
  <si>
    <t>Poire</t>
  </si>
  <si>
    <t>Cout d'achat unitaire</t>
  </si>
  <si>
    <t>Régime de bananes</t>
  </si>
  <si>
    <t>Flux trésorerie</t>
  </si>
  <si>
    <t>Flux normatif de trésorerie</t>
  </si>
  <si>
    <t>BFR N1</t>
  </si>
  <si>
    <t>BFR N2</t>
  </si>
  <si>
    <t>BFR N3</t>
  </si>
  <si>
    <t>BFR N4</t>
  </si>
  <si>
    <t>BFR N5</t>
  </si>
  <si>
    <t>variation N3 - N2</t>
  </si>
  <si>
    <t>variation N4 - N3</t>
  </si>
  <si>
    <t>variation N5 - N4</t>
  </si>
  <si>
    <t>variation N2 - N1</t>
  </si>
  <si>
    <t>Valeur de l'entreprise</t>
  </si>
  <si>
    <t>Valeur terminale ou prix de revente espéré</t>
  </si>
  <si>
    <t>Mensualités</t>
  </si>
  <si>
    <t>Numéro de compte</t>
  </si>
  <si>
    <t>Liste des charges fixes</t>
  </si>
  <si>
    <t>Cout unitaire mensuel</t>
  </si>
  <si>
    <t>Quantité</t>
  </si>
  <si>
    <t>Total 2024</t>
  </si>
  <si>
    <t>Total 2025</t>
  </si>
  <si>
    <t>Total 2026</t>
  </si>
  <si>
    <t>Total 2027</t>
  </si>
  <si>
    <t>Total 2028</t>
  </si>
  <si>
    <t xml:space="preserve">Frais de location des machines </t>
  </si>
  <si>
    <t xml:space="preserve">Redevances de crédit bail </t>
  </si>
  <si>
    <t>Entretiens, réparations et maintenance (60 % du montant des investissements amortis sur 48 mois)</t>
  </si>
  <si>
    <t xml:space="preserve">Prime d'assurances perte de production </t>
  </si>
  <si>
    <t>Prime d'assurances responsabilité civile</t>
  </si>
  <si>
    <t xml:space="preserve">Prime d'assurances Matériel de production </t>
  </si>
  <si>
    <t>Administrateurs (Forfait annuel)</t>
  </si>
  <si>
    <t>Salaire DG</t>
  </si>
  <si>
    <t>Salaire secretaire de direction</t>
  </si>
  <si>
    <t>Salaire Chef de département commercial</t>
  </si>
  <si>
    <t>Salaire service placement de la production</t>
  </si>
  <si>
    <t>Salaire service de l'approvisionnement</t>
  </si>
  <si>
    <t xml:space="preserve">Salaire Chef de département Sécurité du domaine </t>
  </si>
  <si>
    <t>Salaire Gardiens</t>
  </si>
  <si>
    <t xml:space="preserve">Salaire Chef de la division technique </t>
  </si>
  <si>
    <t>Salaire Secrétaire du chef de division</t>
  </si>
  <si>
    <t xml:space="preserve">Salaire Chef de département des installations et équipements de production </t>
  </si>
  <si>
    <t>Salaire service maintenance des installations et de production</t>
  </si>
  <si>
    <t>Salaire service d'exploitation des moyens roulants</t>
  </si>
  <si>
    <t>Salaire service d'exploitation des installations de stockage et de transformation</t>
  </si>
  <si>
    <t xml:space="preserve">Salaire chef de département de la production </t>
  </si>
  <si>
    <t xml:space="preserve">Salaire service culture, stockage et transformation du Mais </t>
  </si>
  <si>
    <t>Salaire service culture, stockage et transformation du Soja</t>
  </si>
  <si>
    <t>Salaire service culture, stockage et transformation du Ricin</t>
  </si>
  <si>
    <t>Salaire Chef de division administration, comptabilité et finance</t>
  </si>
  <si>
    <t xml:space="preserve">Salaire chef de département administration et affaires juridiques </t>
  </si>
  <si>
    <t>Salaire service administration</t>
  </si>
  <si>
    <t>Salaire service affaires juridiques</t>
  </si>
  <si>
    <t>Chef de département Comptabilité et Finances</t>
  </si>
  <si>
    <t>Salaire service comptabilité</t>
  </si>
  <si>
    <t>Salaire service des finances</t>
  </si>
  <si>
    <t>Mission d'assistance de la direction générale par OBAC CAPITAL</t>
  </si>
  <si>
    <t xml:space="preserve">Logiciel </t>
  </si>
  <si>
    <t xml:space="preserve">Ordinateurs </t>
  </si>
  <si>
    <t>Bureaux</t>
  </si>
  <si>
    <t>Subvention</t>
  </si>
  <si>
    <t xml:space="preserve">Habits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</si>
</sst>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* #,##0\ &quot;FCFA&quot;_-;\-* #,##0\ &quot;FCFA&quot;_-;_-* &quot;-&quot;\ &quot;FCFA&quot;_-;_-@_-"/>
    <numFmt numFmtId="41" formatCode="_-* #,##0_-;\-* #,##0_-;_-* &quot;-&quot;_-;_-@_-"/>
    <numFmt numFmtId="164" formatCode="_-* #,##0.00\ _€_-;\-* #,##0.00\ _€_-;_-* &quot;-&quot;??\ _€_-;_-@_-"/>
    <numFmt numFmtId="165" formatCode="_-* #,##0\ _€_-;\-* #,##0\ _€_-;_-* &quot;-&quot;??\ _€_-;_-@_-"/>
    <numFmt numFmtId="166" formatCode="0.000%"/>
    <numFmt numFmtId="167" formatCode="_-* #,##0.0\ _€_-;\-* #,##0.0\ _€_-;_-* &quot;-&quot;??\ _€_-;_-@_-"/>
    <numFmt numFmtId="168" formatCode="_-* #,##0.00_-;\-* #,##0.00_-;_-* &quot;-&quot;_-;_-@_-"/>
  </numFmts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i/>
      <sz val="8"/>
      <color theme="1"/>
      <name val="Calibri"/>
      <family val="2"/>
    </font>
    <font>
      <b/>
      <sz val="10"/>
      <color theme="1"/>
      <name val="Calibri"/>
      <family val="2"/>
    </font>
    <font>
      <b/>
      <sz val="10"/>
      <name val="Calibri"/>
      <family val="2"/>
    </font>
    <font>
      <sz val="10"/>
      <color theme="1"/>
      <name val="Calibri"/>
      <family val="2"/>
    </font>
    <font>
      <sz val="10"/>
      <name val="Calibri"/>
      <family val="2"/>
    </font>
    <font>
      <b/>
      <sz val="8"/>
      <color rgb="FF000000"/>
      <name val="Calibri"/>
      <family val="2"/>
    </font>
    <font>
      <sz val="10"/>
      <color theme="1"/>
      <name val="Times New Roman"/>
      <family val="1"/>
    </font>
    <font>
      <sz val="8"/>
      <name val="Calibri"/>
      <family val="2"/>
    </font>
    <font>
      <sz val="10"/>
      <name val="Times New Roman"/>
      <family val="1"/>
    </font>
    <font>
      <b/>
      <sz val="8"/>
      <name val="Calibri"/>
      <family val="2"/>
    </font>
    <font>
      <i/>
      <sz val="8"/>
      <color theme="1"/>
      <name val="Times New Roman"/>
      <family val="1"/>
    </font>
    <font>
      <b/>
      <sz val="10"/>
      <color theme="1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i/>
      <sz val="12"/>
      <name val="Times New Roman"/>
      <family val="1"/>
    </font>
    <font>
      <sz val="12"/>
      <name val="Wingdings 3"/>
      <family val="1"/>
      <charset val="2"/>
    </font>
    <font>
      <b/>
      <i/>
      <sz val="12"/>
      <name val="Times New Roman"/>
      <family val="1"/>
    </font>
    <font>
      <b/>
      <sz val="12"/>
      <color theme="6" tint="-0.499984740745262"/>
      <name val="Times New Roman"/>
      <family val="1"/>
    </font>
    <font>
      <b/>
      <sz val="12"/>
      <color rgb="FF000000"/>
      <name val="Calibri"/>
      <family val="2"/>
    </font>
    <font>
      <b/>
      <sz val="12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21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1" fontId="2" fillId="0" borderId="0" applyFont="0" applyFill="0" applyBorder="0" applyAlignment="0" applyProtection="0"/>
  </cellStyleXfs>
  <cellXfs count="199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0" xfId="0" applyAlignment="1">
      <alignment horizontal="center" wrapText="1"/>
    </xf>
    <xf numFmtId="0" fontId="1" fillId="0" borderId="0" xfId="0" applyFont="1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wrapText="1"/>
    </xf>
    <xf numFmtId="0" fontId="0" fillId="2" borderId="1" xfId="0" applyFill="1" applyBorder="1"/>
    <xf numFmtId="0" fontId="1" fillId="2" borderId="1" xfId="0" applyFont="1" applyFill="1" applyBorder="1"/>
    <xf numFmtId="0" fontId="0" fillId="2" borderId="1" xfId="0" applyFill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1" fillId="0" borderId="1" xfId="0" applyFont="1" applyBorder="1" applyAlignment="1">
      <alignment wrapText="1"/>
    </xf>
    <xf numFmtId="9" fontId="0" fillId="0" borderId="1" xfId="0" applyNumberFormat="1" applyBorder="1" applyAlignment="1">
      <alignment horizontal="center" wrapText="1"/>
    </xf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wrapText="1"/>
    </xf>
    <xf numFmtId="165" fontId="0" fillId="0" borderId="1" xfId="1" applyNumberFormat="1" applyFont="1" applyBorder="1"/>
    <xf numFmtId="0" fontId="3" fillId="0" borderId="1" xfId="0" applyFont="1" applyBorder="1" applyAlignment="1">
      <alignment vertical="center" wrapText="1"/>
    </xf>
    <xf numFmtId="165" fontId="4" fillId="0" borderId="1" xfId="1" applyNumberFormat="1" applyFont="1" applyBorder="1" applyAlignment="1">
      <alignment vertical="center" wrapText="1"/>
    </xf>
    <xf numFmtId="165" fontId="3" fillId="0" borderId="1" xfId="1" applyNumberFormat="1" applyFont="1" applyBorder="1" applyAlignment="1">
      <alignment horizontal="center" vertical="center" wrapText="1"/>
    </xf>
    <xf numFmtId="165" fontId="3" fillId="0" borderId="1" xfId="1" applyNumberFormat="1" applyFont="1" applyBorder="1" applyAlignment="1">
      <alignment vertical="center" wrapText="1"/>
    </xf>
    <xf numFmtId="165" fontId="3" fillId="2" borderId="1" xfId="1" applyNumberFormat="1" applyFont="1" applyFill="1" applyBorder="1" applyAlignment="1">
      <alignment vertical="center" wrapText="1"/>
    </xf>
    <xf numFmtId="9" fontId="0" fillId="0" borderId="1" xfId="2" applyFont="1" applyBorder="1"/>
    <xf numFmtId="0" fontId="3" fillId="0" borderId="1" xfId="0" applyFont="1" applyBorder="1" applyAlignment="1">
      <alignment horizontal="right" vertical="center" wrapText="1"/>
    </xf>
    <xf numFmtId="165" fontId="1" fillId="0" borderId="1" xfId="1" applyNumberFormat="1" applyFont="1" applyBorder="1" applyAlignment="1">
      <alignment wrapText="1"/>
    </xf>
    <xf numFmtId="164" fontId="0" fillId="0" borderId="1" xfId="1" applyFont="1" applyBorder="1" applyAlignment="1">
      <alignment wrapText="1"/>
    </xf>
    <xf numFmtId="165" fontId="0" fillId="0" borderId="1" xfId="1" applyNumberFormat="1" applyFont="1" applyBorder="1" applyAlignment="1">
      <alignment wrapText="1"/>
    </xf>
    <xf numFmtId="165" fontId="0" fillId="0" borderId="1" xfId="0" applyNumberFormat="1" applyBorder="1" applyAlignment="1">
      <alignment wrapText="1"/>
    </xf>
    <xf numFmtId="9" fontId="0" fillId="0" borderId="1" xfId="2" applyFont="1" applyBorder="1" applyAlignment="1">
      <alignment wrapText="1"/>
    </xf>
    <xf numFmtId="0" fontId="5" fillId="0" borderId="8" xfId="0" applyFont="1" applyBorder="1" applyAlignment="1">
      <alignment vertical="center" wrapText="1"/>
    </xf>
    <xf numFmtId="0" fontId="6" fillId="5" borderId="9" xfId="0" applyFont="1" applyFill="1" applyBorder="1" applyAlignment="1">
      <alignment horizontal="center" vertical="center"/>
    </xf>
    <xf numFmtId="0" fontId="6" fillId="4" borderId="10" xfId="0" applyFont="1" applyFill="1" applyBorder="1" applyAlignment="1">
      <alignment vertical="center" wrapText="1"/>
    </xf>
    <xf numFmtId="165" fontId="7" fillId="4" borderId="11" xfId="1" applyNumberFormat="1" applyFont="1" applyFill="1" applyBorder="1" applyAlignment="1">
      <alignment horizontal="center" vertical="center"/>
    </xf>
    <xf numFmtId="0" fontId="8" fillId="0" borderId="10" xfId="0" applyFont="1" applyBorder="1" applyAlignment="1">
      <alignment vertical="center" wrapText="1"/>
    </xf>
    <xf numFmtId="165" fontId="9" fillId="0" borderId="11" xfId="1" applyNumberFormat="1" applyFont="1" applyBorder="1" applyAlignment="1">
      <alignment horizontal="center" vertical="center"/>
    </xf>
    <xf numFmtId="0" fontId="6" fillId="0" borderId="10" xfId="0" applyFont="1" applyBorder="1" applyAlignment="1">
      <alignment vertical="center" wrapText="1"/>
    </xf>
    <xf numFmtId="165" fontId="7" fillId="0" borderId="11" xfId="1" applyNumberFormat="1" applyFont="1" applyBorder="1" applyAlignment="1">
      <alignment horizontal="center" vertical="center"/>
    </xf>
    <xf numFmtId="9" fontId="9" fillId="0" borderId="11" xfId="2" applyFont="1" applyBorder="1" applyAlignment="1">
      <alignment horizontal="center" vertical="center"/>
    </xf>
    <xf numFmtId="0" fontId="8" fillId="0" borderId="12" xfId="0" applyFont="1" applyBorder="1" applyAlignment="1">
      <alignment vertical="center" wrapText="1"/>
    </xf>
    <xf numFmtId="165" fontId="9" fillId="0" borderId="13" xfId="1" applyNumberFormat="1" applyFont="1" applyBorder="1" applyAlignment="1">
      <alignment horizontal="center" vertical="center"/>
    </xf>
    <xf numFmtId="0" fontId="6" fillId="6" borderId="12" xfId="0" applyFont="1" applyFill="1" applyBorder="1" applyAlignment="1">
      <alignment vertical="center" wrapText="1"/>
    </xf>
    <xf numFmtId="165" fontId="7" fillId="6" borderId="11" xfId="1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vertical="center" wrapText="1"/>
    </xf>
    <xf numFmtId="165" fontId="7" fillId="0" borderId="14" xfId="1" applyNumberFormat="1" applyFont="1" applyBorder="1" applyAlignment="1">
      <alignment horizontal="center" vertical="center"/>
    </xf>
    <xf numFmtId="165" fontId="7" fillId="4" borderId="14" xfId="1" applyNumberFormat="1" applyFont="1" applyFill="1" applyBorder="1" applyAlignment="1">
      <alignment horizontal="center" vertical="center"/>
    </xf>
    <xf numFmtId="165" fontId="7" fillId="0" borderId="14" xfId="1" applyNumberFormat="1" applyFont="1" applyFill="1" applyBorder="1" applyAlignment="1">
      <alignment horizontal="center" vertical="center"/>
    </xf>
    <xf numFmtId="0" fontId="6" fillId="6" borderId="10" xfId="0" applyFont="1" applyFill="1" applyBorder="1" applyAlignment="1">
      <alignment vertical="center" wrapText="1"/>
    </xf>
    <xf numFmtId="165" fontId="9" fillId="6" borderId="11" xfId="1" applyNumberFormat="1" applyFont="1" applyFill="1" applyBorder="1" applyAlignment="1">
      <alignment horizontal="center" vertical="center"/>
    </xf>
    <xf numFmtId="165" fontId="9" fillId="0" borderId="14" xfId="1" applyNumberFormat="1" applyFont="1" applyBorder="1" applyAlignment="1">
      <alignment horizontal="center" vertical="center"/>
    </xf>
    <xf numFmtId="165" fontId="9" fillId="0" borderId="13" xfId="1" applyNumberFormat="1" applyFont="1" applyBorder="1" applyAlignment="1">
      <alignment horizontal="center" vertical="center" wrapText="1"/>
    </xf>
    <xf numFmtId="165" fontId="7" fillId="4" borderId="11" xfId="1" applyNumberFormat="1" applyFont="1" applyFill="1" applyBorder="1" applyAlignment="1">
      <alignment horizontal="center" vertical="center" wrapText="1"/>
    </xf>
    <xf numFmtId="165" fontId="9" fillId="0" borderId="11" xfId="1" applyNumberFormat="1" applyFont="1" applyBorder="1" applyAlignment="1">
      <alignment horizontal="center" vertical="center" wrapText="1"/>
    </xf>
    <xf numFmtId="0" fontId="10" fillId="0" borderId="8" xfId="0" applyFont="1" applyBorder="1" applyAlignment="1">
      <alignment vertical="center"/>
    </xf>
    <xf numFmtId="0" fontId="11" fillId="0" borderId="0" xfId="0" applyFont="1"/>
    <xf numFmtId="0" fontId="10" fillId="0" borderId="8" xfId="0" applyFont="1" applyBorder="1" applyAlignment="1">
      <alignment horizontal="center" vertical="center"/>
    </xf>
    <xf numFmtId="0" fontId="12" fillId="0" borderId="0" xfId="0" applyFont="1" applyAlignment="1">
      <alignment vertical="center"/>
    </xf>
    <xf numFmtId="165" fontId="12" fillId="0" borderId="0" xfId="1" applyNumberFormat="1" applyFont="1" applyAlignment="1">
      <alignment horizontal="right" vertical="center"/>
    </xf>
    <xf numFmtId="165" fontId="13" fillId="0" borderId="0" xfId="1" applyNumberFormat="1" applyFont="1"/>
    <xf numFmtId="0" fontId="14" fillId="0" borderId="0" xfId="0" applyFont="1" applyAlignment="1">
      <alignment vertical="center"/>
    </xf>
    <xf numFmtId="165" fontId="14" fillId="0" borderId="8" xfId="1" applyNumberFormat="1" applyFont="1" applyBorder="1" applyAlignment="1">
      <alignment horizontal="right" vertical="center"/>
    </xf>
    <xf numFmtId="0" fontId="13" fillId="0" borderId="0" xfId="0" applyFont="1"/>
    <xf numFmtId="165" fontId="14" fillId="0" borderId="0" xfId="1" applyNumberFormat="1" applyFont="1" applyAlignment="1">
      <alignment horizontal="right" vertical="center"/>
    </xf>
    <xf numFmtId="0" fontId="14" fillId="6" borderId="8" xfId="0" applyFont="1" applyFill="1" applyBorder="1" applyAlignment="1">
      <alignment vertical="center"/>
    </xf>
    <xf numFmtId="165" fontId="14" fillId="6" borderId="8" xfId="1" applyNumberFormat="1" applyFont="1" applyFill="1" applyBorder="1" applyAlignment="1">
      <alignment horizontal="right" vertical="center"/>
    </xf>
    <xf numFmtId="0" fontId="14" fillId="0" borderId="8" xfId="0" applyFont="1" applyBorder="1" applyAlignment="1">
      <alignment vertical="center"/>
    </xf>
    <xf numFmtId="165" fontId="14" fillId="6" borderId="8" xfId="0" applyNumberFormat="1" applyFont="1" applyFill="1" applyBorder="1" applyAlignment="1">
      <alignment horizontal="right" vertical="center"/>
    </xf>
    <xf numFmtId="0" fontId="15" fillId="0" borderId="8" xfId="0" applyFont="1" applyBorder="1" applyAlignment="1">
      <alignment vertical="center"/>
    </xf>
    <xf numFmtId="0" fontId="16" fillId="4" borderId="9" xfId="0" applyFont="1" applyFill="1" applyBorder="1" applyAlignment="1">
      <alignment horizontal="center" vertical="center"/>
    </xf>
    <xf numFmtId="165" fontId="11" fillId="0" borderId="14" xfId="1" applyNumberFormat="1" applyFont="1" applyBorder="1" applyAlignment="1">
      <alignment horizontal="right" vertical="center"/>
    </xf>
    <xf numFmtId="9" fontId="11" fillId="0" borderId="14" xfId="2" applyFont="1" applyBorder="1" applyAlignment="1">
      <alignment horizontal="right" vertical="center"/>
    </xf>
    <xf numFmtId="3" fontId="18" fillId="0" borderId="16" xfId="0" applyNumberFormat="1" applyFont="1" applyBorder="1"/>
    <xf numFmtId="0" fontId="18" fillId="0" borderId="7" xfId="0" applyFont="1" applyBorder="1" applyAlignment="1">
      <alignment horizontal="center" wrapText="1"/>
    </xf>
    <xf numFmtId="0" fontId="17" fillId="0" borderId="17" xfId="0" applyFont="1" applyBorder="1" applyAlignment="1">
      <alignment wrapText="1"/>
    </xf>
    <xf numFmtId="3" fontId="17" fillId="0" borderId="17" xfId="0" applyNumberFormat="1" applyFont="1" applyBorder="1"/>
    <xf numFmtId="0" fontId="18" fillId="0" borderId="17" xfId="0" applyFont="1" applyBorder="1" applyAlignment="1">
      <alignment wrapText="1"/>
    </xf>
    <xf numFmtId="3" fontId="18" fillId="0" borderId="17" xfId="0" applyNumberFormat="1" applyFont="1" applyBorder="1"/>
    <xf numFmtId="0" fontId="21" fillId="0" borderId="17" xfId="0" applyFont="1" applyBorder="1" applyAlignment="1">
      <alignment wrapText="1"/>
    </xf>
    <xf numFmtId="3" fontId="17" fillId="0" borderId="16" xfId="0" applyNumberFormat="1" applyFont="1" applyBorder="1"/>
    <xf numFmtId="0" fontId="18" fillId="0" borderId="19" xfId="0" applyFont="1" applyBorder="1" applyAlignment="1">
      <alignment horizontal="center" wrapText="1"/>
    </xf>
    <xf numFmtId="0" fontId="21" fillId="0" borderId="18" xfId="0" applyFont="1" applyBorder="1" applyAlignment="1">
      <alignment wrapText="1"/>
    </xf>
    <xf numFmtId="3" fontId="17" fillId="0" borderId="18" xfId="0" applyNumberFormat="1" applyFont="1" applyBorder="1"/>
    <xf numFmtId="3" fontId="18" fillId="0" borderId="20" xfId="0" applyNumberFormat="1" applyFont="1" applyBorder="1"/>
    <xf numFmtId="3" fontId="17" fillId="0" borderId="1" xfId="0" applyNumberFormat="1" applyFont="1" applyBorder="1"/>
    <xf numFmtId="0" fontId="18" fillId="0" borderId="18" xfId="0" applyFont="1" applyBorder="1" applyAlignment="1">
      <alignment wrapText="1"/>
    </xf>
    <xf numFmtId="3" fontId="18" fillId="7" borderId="18" xfId="0" applyNumberFormat="1" applyFont="1" applyFill="1" applyBorder="1"/>
    <xf numFmtId="3" fontId="17" fillId="8" borderId="17" xfId="0" applyNumberFormat="1" applyFont="1" applyFill="1" applyBorder="1" applyProtection="1">
      <protection locked="0"/>
    </xf>
    <xf numFmtId="3" fontId="18" fillId="8" borderId="17" xfId="0" applyNumberFormat="1" applyFont="1" applyFill="1" applyBorder="1" applyProtection="1">
      <protection locked="0"/>
    </xf>
    <xf numFmtId="3" fontId="18" fillId="8" borderId="18" xfId="0" applyNumberFormat="1" applyFont="1" applyFill="1" applyBorder="1" applyProtection="1">
      <protection locked="0"/>
    </xf>
    <xf numFmtId="3" fontId="18" fillId="8" borderId="21" xfId="0" applyNumberFormat="1" applyFont="1" applyFill="1" applyBorder="1" applyProtection="1">
      <protection locked="0"/>
    </xf>
    <xf numFmtId="0" fontId="1" fillId="0" borderId="0" xfId="0" applyFont="1" applyAlignment="1">
      <alignment wrapText="1"/>
    </xf>
    <xf numFmtId="0" fontId="1" fillId="0" borderId="17" xfId="0" applyFont="1" applyBorder="1" applyAlignment="1">
      <alignment wrapText="1"/>
    </xf>
    <xf numFmtId="164" fontId="0" fillId="0" borderId="0" xfId="1" applyFont="1" applyAlignment="1">
      <alignment wrapText="1"/>
    </xf>
    <xf numFmtId="165" fontId="0" fillId="0" borderId="0" xfId="1" applyNumberFormat="1" applyFont="1" applyAlignment="1">
      <alignment wrapText="1"/>
    </xf>
    <xf numFmtId="10" fontId="0" fillId="0" borderId="0" xfId="1" applyNumberFormat="1" applyFont="1"/>
    <xf numFmtId="10" fontId="0" fillId="0" borderId="0" xfId="0" applyNumberFormat="1"/>
    <xf numFmtId="166" fontId="0" fillId="0" borderId="0" xfId="0" applyNumberFormat="1"/>
    <xf numFmtId="0" fontId="0" fillId="2" borderId="1" xfId="0" applyFill="1" applyBorder="1" applyAlignment="1">
      <alignment horizontal="center" wrapText="1"/>
    </xf>
    <xf numFmtId="165" fontId="0" fillId="2" borderId="1" xfId="1" applyNumberFormat="1" applyFont="1" applyFill="1" applyBorder="1"/>
    <xf numFmtId="165" fontId="0" fillId="2" borderId="1" xfId="1" applyNumberFormat="1" applyFont="1" applyFill="1" applyBorder="1" applyAlignment="1">
      <alignment wrapText="1"/>
    </xf>
    <xf numFmtId="165" fontId="1" fillId="2" borderId="1" xfId="1" applyNumberFormat="1" applyFont="1" applyFill="1" applyBorder="1" applyAlignment="1">
      <alignment horizontal="center"/>
    </xf>
    <xf numFmtId="0" fontId="1" fillId="2" borderId="0" xfId="0" applyFont="1" applyFill="1"/>
    <xf numFmtId="10" fontId="0" fillId="0" borderId="1" xfId="0" applyNumberFormat="1" applyBorder="1"/>
    <xf numFmtId="9" fontId="0" fillId="0" borderId="1" xfId="0" applyNumberFormat="1" applyBorder="1"/>
    <xf numFmtId="10" fontId="0" fillId="0" borderId="1" xfId="0" applyNumberFormat="1" applyBorder="1" applyAlignment="1">
      <alignment horizontal="center"/>
    </xf>
    <xf numFmtId="10" fontId="1" fillId="2" borderId="1" xfId="0" applyNumberFormat="1" applyFont="1" applyFill="1" applyBorder="1" applyAlignment="1">
      <alignment wrapText="1"/>
    </xf>
    <xf numFmtId="0" fontId="6" fillId="4" borderId="1" xfId="0" applyFont="1" applyFill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12" fillId="0" borderId="0" xfId="0" applyFont="1" applyAlignment="1">
      <alignment vertical="center" wrapText="1"/>
    </xf>
    <xf numFmtId="0" fontId="11" fillId="0" borderId="11" xfId="0" applyFont="1" applyBorder="1" applyAlignment="1">
      <alignment vertical="center" wrapText="1"/>
    </xf>
    <xf numFmtId="0" fontId="1" fillId="2" borderId="21" xfId="0" applyFont="1" applyFill="1" applyBorder="1" applyAlignment="1">
      <alignment wrapText="1"/>
    </xf>
    <xf numFmtId="3" fontId="17" fillId="8" borderId="1" xfId="0" applyNumberFormat="1" applyFont="1" applyFill="1" applyBorder="1" applyAlignment="1">
      <alignment horizontal="center"/>
    </xf>
    <xf numFmtId="0" fontId="22" fillId="0" borderId="2" xfId="0" applyFont="1" applyBorder="1" applyAlignment="1">
      <alignment vertical="center" wrapText="1"/>
    </xf>
    <xf numFmtId="167" fontId="0" fillId="0" borderId="1" xfId="1" applyNumberFormat="1" applyFont="1" applyBorder="1" applyAlignment="1">
      <alignment wrapText="1"/>
    </xf>
    <xf numFmtId="164" fontId="0" fillId="2" borderId="1" xfId="1" applyFont="1" applyFill="1" applyBorder="1" applyAlignment="1">
      <alignment wrapText="1"/>
    </xf>
    <xf numFmtId="165" fontId="1" fillId="2" borderId="1" xfId="0" applyNumberFormat="1" applyFont="1" applyFill="1" applyBorder="1" applyAlignment="1">
      <alignment wrapText="1"/>
    </xf>
    <xf numFmtId="165" fontId="1" fillId="2" borderId="1" xfId="1" applyNumberFormat="1" applyFont="1" applyFill="1" applyBorder="1" applyAlignment="1">
      <alignment wrapText="1"/>
    </xf>
    <xf numFmtId="165" fontId="0" fillId="0" borderId="1" xfId="1" applyNumberFormat="1" applyFont="1" applyBorder="1" applyAlignment="1">
      <alignment horizontal="center" wrapText="1"/>
    </xf>
    <xf numFmtId="165" fontId="1" fillId="2" borderId="1" xfId="1" applyNumberFormat="1" applyFont="1" applyFill="1" applyBorder="1"/>
    <xf numFmtId="165" fontId="0" fillId="0" borderId="1" xfId="0" applyNumberFormat="1" applyBorder="1"/>
    <xf numFmtId="0" fontId="23" fillId="0" borderId="1" xfId="0" applyFont="1" applyBorder="1" applyAlignment="1">
      <alignment horizontal="center" vertical="center"/>
    </xf>
    <xf numFmtId="0" fontId="24" fillId="0" borderId="1" xfId="0" applyFont="1" applyBorder="1" applyAlignment="1">
      <alignment wrapText="1"/>
    </xf>
    <xf numFmtId="3" fontId="0" fillId="0" borderId="1" xfId="0" applyNumberFormat="1" applyBorder="1"/>
    <xf numFmtId="165" fontId="0" fillId="0" borderId="0" xfId="1" applyNumberFormat="1" applyFont="1"/>
    <xf numFmtId="0" fontId="0" fillId="0" borderId="0" xfId="0" applyAlignment="1">
      <alignment horizontal="center"/>
    </xf>
    <xf numFmtId="164" fontId="3" fillId="0" borderId="1" xfId="1" applyFont="1" applyBorder="1" applyAlignment="1">
      <alignment horizontal="center" vertical="center" wrapText="1"/>
    </xf>
    <xf numFmtId="165" fontId="0" fillId="0" borderId="0" xfId="0" applyNumberFormat="1"/>
    <xf numFmtId="0" fontId="0" fillId="0" borderId="3" xfId="0" applyBorder="1" applyAlignment="1">
      <alignment horizontal="center"/>
    </xf>
    <xf numFmtId="0" fontId="1" fillId="9" borderId="1" xfId="0" applyFont="1" applyFill="1" applyBorder="1" applyAlignment="1">
      <alignment wrapText="1"/>
    </xf>
    <xf numFmtId="9" fontId="1" fillId="9" borderId="1" xfId="0" applyNumberFormat="1" applyFont="1" applyFill="1" applyBorder="1" applyAlignment="1">
      <alignment wrapText="1"/>
    </xf>
    <xf numFmtId="0" fontId="1" fillId="9" borderId="1" xfId="0" applyFont="1" applyFill="1" applyBorder="1"/>
    <xf numFmtId="17" fontId="1" fillId="0" borderId="1" xfId="0" applyNumberFormat="1" applyFont="1" applyBorder="1"/>
    <xf numFmtId="165" fontId="1" fillId="0" borderId="1" xfId="1" applyNumberFormat="1" applyFont="1" applyBorder="1"/>
    <xf numFmtId="42" fontId="1" fillId="9" borderId="1" xfId="3" applyFont="1" applyFill="1" applyBorder="1"/>
    <xf numFmtId="41" fontId="0" fillId="0" borderId="1" xfId="4" applyFont="1" applyBorder="1" applyAlignment="1">
      <alignment wrapText="1"/>
    </xf>
    <xf numFmtId="168" fontId="0" fillId="0" borderId="1" xfId="4" applyNumberFormat="1" applyFont="1" applyBorder="1"/>
    <xf numFmtId="41" fontId="0" fillId="0" borderId="0" xfId="4" applyFont="1"/>
    <xf numFmtId="41" fontId="0" fillId="0" borderId="1" xfId="4" applyFont="1" applyBorder="1"/>
    <xf numFmtId="41" fontId="1" fillId="0" borderId="1" xfId="4" applyFont="1" applyBorder="1"/>
    <xf numFmtId="41" fontId="0" fillId="2" borderId="1" xfId="4" applyFont="1" applyFill="1" applyBorder="1"/>
    <xf numFmtId="41" fontId="1" fillId="3" borderId="1" xfId="4" applyFont="1" applyFill="1" applyBorder="1"/>
    <xf numFmtId="41" fontId="0" fillId="0" borderId="0" xfId="0" applyNumberFormat="1"/>
    <xf numFmtId="9" fontId="0" fillId="0" borderId="0" xfId="2" applyFont="1"/>
    <xf numFmtId="166" fontId="0" fillId="0" borderId="0" xfId="2" applyNumberFormat="1" applyFont="1"/>
    <xf numFmtId="0" fontId="0" fillId="0" borderId="1" xfId="0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165" fontId="0" fillId="0" borderId="3" xfId="1" applyNumberFormat="1" applyFont="1" applyBorder="1" applyAlignment="1">
      <alignment horizontal="center"/>
    </xf>
    <xf numFmtId="165" fontId="0" fillId="0" borderId="4" xfId="1" applyNumberFormat="1" applyFont="1" applyBorder="1" applyAlignment="1">
      <alignment horizontal="center"/>
    </xf>
    <xf numFmtId="165" fontId="0" fillId="0" borderId="5" xfId="1" applyNumberFormat="1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2" borderId="3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165" fontId="0" fillId="0" borderId="3" xfId="1" applyNumberFormat="1" applyFont="1" applyBorder="1" applyAlignment="1">
      <alignment horizontal="left" wrapText="1"/>
    </xf>
    <xf numFmtId="165" fontId="0" fillId="0" borderId="4" xfId="1" applyNumberFormat="1" applyFont="1" applyBorder="1" applyAlignment="1">
      <alignment horizontal="left" wrapText="1"/>
    </xf>
    <xf numFmtId="165" fontId="0" fillId="0" borderId="5" xfId="1" applyNumberFormat="1" applyFont="1" applyBorder="1" applyAlignment="1">
      <alignment horizontal="left" wrapText="1"/>
    </xf>
    <xf numFmtId="0" fontId="0" fillId="0" borderId="3" xfId="0" applyBorder="1" applyAlignment="1">
      <alignment horizontal="right" vertical="center" wrapText="1"/>
    </xf>
    <xf numFmtId="0" fontId="0" fillId="0" borderId="4" xfId="0" applyBorder="1" applyAlignment="1">
      <alignment horizontal="right" vertical="center" wrapText="1"/>
    </xf>
    <xf numFmtId="0" fontId="0" fillId="0" borderId="5" xfId="0" applyBorder="1" applyAlignment="1">
      <alignment horizontal="right" vertical="center" wrapText="1"/>
    </xf>
    <xf numFmtId="0" fontId="0" fillId="0" borderId="4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9" fontId="0" fillId="0" borderId="3" xfId="0" applyNumberFormat="1" applyBorder="1" applyAlignment="1">
      <alignment horizontal="right" vertical="center" wrapText="1"/>
    </xf>
    <xf numFmtId="9" fontId="0" fillId="0" borderId="4" xfId="0" applyNumberFormat="1" applyBorder="1" applyAlignment="1">
      <alignment horizontal="right" vertical="center" wrapText="1"/>
    </xf>
    <xf numFmtId="9" fontId="0" fillId="0" borderId="5" xfId="0" applyNumberFormat="1" applyBorder="1" applyAlignment="1">
      <alignment horizontal="right" vertical="center" wrapText="1"/>
    </xf>
    <xf numFmtId="9" fontId="0" fillId="0" borderId="3" xfId="2" applyFont="1" applyBorder="1" applyAlignment="1">
      <alignment horizontal="left" wrapText="1"/>
    </xf>
    <xf numFmtId="9" fontId="0" fillId="0" borderId="4" xfId="2" applyFont="1" applyBorder="1" applyAlignment="1">
      <alignment horizontal="left" wrapText="1"/>
    </xf>
    <xf numFmtId="9" fontId="0" fillId="0" borderId="5" xfId="2" applyFont="1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0" fillId="0" borderId="4" xfId="0" applyBorder="1" applyAlignment="1">
      <alignment horizontal="left" wrapText="1"/>
    </xf>
    <xf numFmtId="0" fontId="0" fillId="0" borderId="5" xfId="0" applyBorder="1" applyAlignment="1">
      <alignment horizontal="left" wrapText="1"/>
    </xf>
    <xf numFmtId="165" fontId="0" fillId="0" borderId="3" xfId="1" applyNumberFormat="1" applyFont="1" applyBorder="1" applyAlignment="1">
      <alignment horizontal="right" vertical="center" wrapText="1"/>
    </xf>
    <xf numFmtId="165" fontId="0" fillId="0" borderId="4" xfId="1" applyNumberFormat="1" applyFont="1" applyBorder="1" applyAlignment="1">
      <alignment horizontal="right" vertical="center" wrapText="1"/>
    </xf>
    <xf numFmtId="165" fontId="0" fillId="0" borderId="5" xfId="1" applyNumberFormat="1" applyFont="1" applyBorder="1" applyAlignment="1">
      <alignment horizontal="right" vertical="center" wrapText="1"/>
    </xf>
    <xf numFmtId="0" fontId="17" fillId="0" borderId="15" xfId="0" applyFont="1" applyBorder="1" applyAlignment="1">
      <alignment horizontal="center" vertical="center" wrapText="1"/>
    </xf>
    <xf numFmtId="0" fontId="17" fillId="0" borderId="16" xfId="0" applyFont="1" applyBorder="1" applyAlignment="1">
      <alignment horizontal="center" vertical="center" wrapText="1"/>
    </xf>
    <xf numFmtId="0" fontId="17" fillId="8" borderId="1" xfId="0" applyFont="1" applyFill="1" applyBorder="1" applyAlignment="1">
      <alignment horizontal="center" wrapText="1"/>
    </xf>
    <xf numFmtId="0" fontId="22" fillId="0" borderId="1" xfId="0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wrapText="1"/>
    </xf>
    <xf numFmtId="0" fontId="19" fillId="0" borderId="17" xfId="0" applyFont="1" applyBorder="1" applyAlignment="1">
      <alignment horizontal="center" wrapText="1"/>
    </xf>
    <xf numFmtId="0" fontId="19" fillId="0" borderId="7" xfId="0" applyFont="1" applyBorder="1" applyAlignment="1">
      <alignment horizontal="left" wrapText="1"/>
    </xf>
    <xf numFmtId="0" fontId="19" fillId="0" borderId="17" xfId="0" applyFont="1" applyBorder="1" applyAlignment="1">
      <alignment horizontal="left" wrapText="1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3" fontId="1" fillId="9" borderId="3" xfId="0" applyNumberFormat="1" applyFont="1" applyFill="1" applyBorder="1" applyAlignment="1">
      <alignment horizontal="center"/>
    </xf>
    <xf numFmtId="3" fontId="1" fillId="9" borderId="4" xfId="0" applyNumberFormat="1" applyFont="1" applyFill="1" applyBorder="1" applyAlignment="1">
      <alignment horizontal="center"/>
    </xf>
    <xf numFmtId="3" fontId="0" fillId="2" borderId="3" xfId="0" applyNumberFormat="1" applyFill="1" applyBorder="1" applyAlignment="1">
      <alignment horizontal="center"/>
    </xf>
    <xf numFmtId="3" fontId="0" fillId="2" borderId="4" xfId="0" applyNumberFormat="1" applyFill="1" applyBorder="1" applyAlignment="1">
      <alignment horizontal="center"/>
    </xf>
    <xf numFmtId="3" fontId="0" fillId="0" borderId="3" xfId="0" applyNumberFormat="1" applyBorder="1" applyAlignment="1">
      <alignment horizontal="center"/>
    </xf>
    <xf numFmtId="3" fontId="0" fillId="0" borderId="4" xfId="0" applyNumberFormat="1" applyBorder="1" applyAlignment="1">
      <alignment horizontal="center"/>
    </xf>
  </cellXfs>
  <cellStyles count="5">
    <cellStyle name="Milliers" xfId="1" builtinId="3"/>
    <cellStyle name="Milliers [0]" xfId="4" builtinId="6"/>
    <cellStyle name="Monétaire [0]" xfId="3" builtinId="7"/>
    <cellStyle name="Normal" xfId="0" builtinId="0"/>
    <cellStyle name="Pourcentag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B1:J26"/>
  <sheetViews>
    <sheetView topLeftCell="B1" workbookViewId="0">
      <selection activeCell="D3" sqref="D3:F4"/>
    </sheetView>
  </sheetViews>
  <sheetFormatPr baseColWidth="10" defaultRowHeight="14.4" x14ac:dyDescent="0.3"/>
  <cols>
    <col min="2" max="2" width="23.109375" customWidth="1"/>
    <col min="3" max="3" width="25.109375" customWidth="1"/>
    <col min="4" max="4" width="12.6640625" customWidth="1"/>
    <col min="5" max="5" width="11.88671875" customWidth="1"/>
    <col min="6" max="6" width="12" customWidth="1"/>
    <col min="7" max="8" width="12.88671875" customWidth="1"/>
  </cols>
  <sheetData>
    <row r="1" spans="2:10" x14ac:dyDescent="0.3">
      <c r="B1" s="1"/>
      <c r="C1" s="2" t="s">
        <v>90</v>
      </c>
      <c r="D1" s="2" t="s">
        <v>85</v>
      </c>
      <c r="E1" s="2" t="s">
        <v>86</v>
      </c>
      <c r="F1" s="2" t="s">
        <v>87</v>
      </c>
      <c r="G1" s="2" t="s">
        <v>88</v>
      </c>
      <c r="H1" s="2" t="s">
        <v>89</v>
      </c>
      <c r="I1" s="2" t="s">
        <v>92</v>
      </c>
      <c r="J1" s="2" t="s">
        <v>93</v>
      </c>
    </row>
    <row r="2" spans="2:10" x14ac:dyDescent="0.3">
      <c r="B2" s="2" t="s">
        <v>65</v>
      </c>
      <c r="C2" s="1" t="s">
        <v>503</v>
      </c>
      <c r="D2" s="136">
        <v>35000</v>
      </c>
      <c r="E2" s="18">
        <v>35000</v>
      </c>
      <c r="F2" s="18">
        <v>40000</v>
      </c>
      <c r="G2" s="18"/>
      <c r="H2" s="18"/>
      <c r="I2" s="18"/>
      <c r="J2" s="18">
        <v>5500</v>
      </c>
    </row>
    <row r="3" spans="2:10" x14ac:dyDescent="0.3">
      <c r="B3" s="2" t="s">
        <v>66</v>
      </c>
      <c r="C3" s="1"/>
      <c r="D3" s="18"/>
      <c r="E3" s="18"/>
      <c r="F3" s="18"/>
      <c r="G3" s="18"/>
      <c r="H3" s="18"/>
      <c r="I3" s="18"/>
      <c r="J3" s="18">
        <v>800</v>
      </c>
    </row>
    <row r="4" spans="2:10" x14ac:dyDescent="0.3">
      <c r="B4" s="2" t="s">
        <v>67</v>
      </c>
      <c r="C4" s="1"/>
      <c r="D4" s="24"/>
      <c r="E4" s="24"/>
      <c r="F4" s="24"/>
      <c r="G4" s="24"/>
      <c r="H4" s="24"/>
      <c r="I4" s="24"/>
      <c r="J4" s="24">
        <v>0.2</v>
      </c>
    </row>
    <row r="5" spans="2:10" x14ac:dyDescent="0.3">
      <c r="B5" s="2" t="s">
        <v>68</v>
      </c>
      <c r="C5" s="1"/>
      <c r="D5" s="18"/>
      <c r="E5" s="18"/>
      <c r="F5" s="18"/>
      <c r="G5" s="18"/>
      <c r="H5" s="18"/>
      <c r="I5" s="18"/>
      <c r="J5" s="18"/>
    </row>
    <row r="6" spans="2:10" x14ac:dyDescent="0.3">
      <c r="B6" s="2" t="s">
        <v>69</v>
      </c>
      <c r="C6" s="1"/>
      <c r="D6" s="18"/>
      <c r="E6" s="18"/>
      <c r="F6" s="18"/>
      <c r="G6" s="18"/>
      <c r="H6" s="18"/>
      <c r="I6" s="18"/>
      <c r="J6" s="18"/>
    </row>
    <row r="7" spans="2:10" x14ac:dyDescent="0.3">
      <c r="B7" s="2" t="s">
        <v>70</v>
      </c>
      <c r="C7" s="1"/>
      <c r="D7" s="18"/>
      <c r="E7" s="18"/>
      <c r="F7" s="18"/>
      <c r="G7" s="18"/>
      <c r="H7" s="18"/>
      <c r="I7" s="18"/>
      <c r="J7" s="18"/>
    </row>
    <row r="8" spans="2:10" x14ac:dyDescent="0.3">
      <c r="B8" s="2" t="s">
        <v>71</v>
      </c>
      <c r="C8" s="1"/>
      <c r="D8" s="18"/>
      <c r="E8" s="18"/>
      <c r="F8" s="18"/>
      <c r="G8" s="18"/>
      <c r="H8" s="18"/>
      <c r="I8" s="18"/>
      <c r="J8" s="18"/>
    </row>
    <row r="9" spans="2:10" x14ac:dyDescent="0.3">
      <c r="B9" s="2" t="s">
        <v>72</v>
      </c>
      <c r="C9" s="1"/>
      <c r="D9" s="18"/>
      <c r="E9" s="18"/>
      <c r="F9" s="18"/>
      <c r="G9" s="18"/>
      <c r="H9" s="18"/>
      <c r="I9" s="18"/>
      <c r="J9" s="18"/>
    </row>
    <row r="10" spans="2:10" x14ac:dyDescent="0.3">
      <c r="B10" s="2" t="s">
        <v>73</v>
      </c>
      <c r="C10" s="1"/>
      <c r="D10" s="18"/>
      <c r="E10" s="18"/>
      <c r="F10" s="18"/>
      <c r="G10" s="18"/>
      <c r="H10" s="18"/>
      <c r="I10" s="18"/>
      <c r="J10" s="18"/>
    </row>
    <row r="11" spans="2:10" x14ac:dyDescent="0.3">
      <c r="B11" s="2" t="s">
        <v>74</v>
      </c>
      <c r="C11" s="1"/>
      <c r="D11" s="18"/>
      <c r="E11" s="18"/>
      <c r="F11" s="18"/>
      <c r="G11" s="18"/>
      <c r="H11" s="18"/>
      <c r="I11" s="18"/>
      <c r="J11" s="18"/>
    </row>
    <row r="12" spans="2:10" x14ac:dyDescent="0.3">
      <c r="B12" s="2" t="s">
        <v>75</v>
      </c>
      <c r="C12" s="1"/>
      <c r="D12" s="18"/>
      <c r="E12" s="18"/>
      <c r="F12" s="18"/>
      <c r="G12" s="18"/>
      <c r="H12" s="18"/>
      <c r="I12" s="18"/>
      <c r="J12" s="18"/>
    </row>
    <row r="13" spans="2:10" x14ac:dyDescent="0.3">
      <c r="B13" s="2" t="s">
        <v>76</v>
      </c>
      <c r="C13" s="1"/>
      <c r="D13" s="18"/>
      <c r="E13" s="18"/>
      <c r="F13" s="18"/>
      <c r="G13" s="18"/>
      <c r="H13" s="18"/>
      <c r="I13" s="18"/>
      <c r="J13" s="18"/>
    </row>
    <row r="14" spans="2:10" x14ac:dyDescent="0.3">
      <c r="B14" s="2" t="s">
        <v>77</v>
      </c>
      <c r="C14" s="1"/>
      <c r="D14" s="18"/>
      <c r="E14" s="18"/>
      <c r="F14" s="18"/>
      <c r="G14" s="18"/>
      <c r="H14" s="18"/>
      <c r="I14" s="18"/>
      <c r="J14" s="18"/>
    </row>
    <row r="15" spans="2:10" x14ac:dyDescent="0.3">
      <c r="B15" s="2" t="s">
        <v>78</v>
      </c>
      <c r="C15" s="1"/>
      <c r="D15" s="18"/>
      <c r="E15" s="18"/>
      <c r="F15" s="18"/>
      <c r="G15" s="18"/>
      <c r="H15" s="18"/>
      <c r="I15" s="18"/>
      <c r="J15" s="18"/>
    </row>
    <row r="16" spans="2:10" x14ac:dyDescent="0.3">
      <c r="B16" s="2" t="s">
        <v>79</v>
      </c>
      <c r="C16" s="1"/>
      <c r="D16" s="18"/>
      <c r="E16" s="18"/>
      <c r="F16" s="18"/>
      <c r="G16" s="18"/>
      <c r="H16" s="18"/>
      <c r="I16" s="18"/>
      <c r="J16" s="18"/>
    </row>
    <row r="17" spans="2:10" x14ac:dyDescent="0.3">
      <c r="B17" s="2" t="s">
        <v>80</v>
      </c>
      <c r="C17" s="1"/>
      <c r="D17" s="18"/>
      <c r="E17" s="18"/>
      <c r="F17" s="18"/>
      <c r="G17" s="18"/>
      <c r="H17" s="18"/>
      <c r="I17" s="18"/>
      <c r="J17" s="18"/>
    </row>
    <row r="18" spans="2:10" x14ac:dyDescent="0.3">
      <c r="B18" s="2" t="s">
        <v>81</v>
      </c>
      <c r="C18" s="1"/>
      <c r="D18" s="18"/>
      <c r="E18" s="18"/>
      <c r="F18" s="18"/>
      <c r="G18" s="18"/>
      <c r="H18" s="18"/>
      <c r="I18" s="18"/>
      <c r="J18" s="18"/>
    </row>
    <row r="19" spans="2:10" x14ac:dyDescent="0.3">
      <c r="B19" s="2" t="s">
        <v>82</v>
      </c>
      <c r="C19" s="1"/>
      <c r="D19" s="18"/>
      <c r="E19" s="18"/>
      <c r="F19" s="18"/>
      <c r="G19" s="18"/>
      <c r="H19" s="18"/>
      <c r="I19" s="18"/>
      <c r="J19" s="18"/>
    </row>
    <row r="20" spans="2:10" x14ac:dyDescent="0.3">
      <c r="B20" s="2" t="s">
        <v>83</v>
      </c>
      <c r="C20" s="1"/>
      <c r="D20" s="18"/>
      <c r="E20" s="18"/>
      <c r="F20" s="18"/>
      <c r="G20" s="18"/>
      <c r="H20" s="18"/>
      <c r="I20" s="18"/>
      <c r="J20" s="18"/>
    </row>
    <row r="21" spans="2:10" x14ac:dyDescent="0.3">
      <c r="B21" s="2" t="s">
        <v>84</v>
      </c>
      <c r="C21" s="1"/>
      <c r="D21" s="18"/>
      <c r="E21" s="18"/>
      <c r="F21" s="18"/>
      <c r="G21" s="18"/>
      <c r="H21" s="18"/>
      <c r="I21" s="18"/>
      <c r="J21" s="18"/>
    </row>
    <row r="24" spans="2:10" x14ac:dyDescent="0.3">
      <c r="B24" s="4" t="s">
        <v>442</v>
      </c>
      <c r="C24" t="s">
        <v>443</v>
      </c>
      <c r="D24">
        <v>1000</v>
      </c>
      <c r="E24">
        <v>1500</v>
      </c>
      <c r="F24">
        <v>2000</v>
      </c>
      <c r="G24">
        <v>2500</v>
      </c>
      <c r="H24">
        <v>2700</v>
      </c>
      <c r="I24">
        <v>3000</v>
      </c>
      <c r="J24">
        <v>3200</v>
      </c>
    </row>
    <row r="25" spans="2:10" x14ac:dyDescent="0.3">
      <c r="B25" s="4"/>
      <c r="C25" t="s">
        <v>440</v>
      </c>
      <c r="D25">
        <v>150</v>
      </c>
      <c r="E25">
        <v>175</v>
      </c>
      <c r="F25">
        <v>200</v>
      </c>
      <c r="G25">
        <v>250</v>
      </c>
      <c r="H25">
        <v>300</v>
      </c>
      <c r="I25">
        <v>325</v>
      </c>
      <c r="J25">
        <v>350</v>
      </c>
    </row>
    <row r="26" spans="2:10" x14ac:dyDescent="0.3">
      <c r="B26" s="4"/>
      <c r="C26" t="s">
        <v>441</v>
      </c>
      <c r="D26">
        <v>150</v>
      </c>
      <c r="E26">
        <v>175</v>
      </c>
      <c r="F26">
        <v>200</v>
      </c>
      <c r="G26">
        <v>250</v>
      </c>
      <c r="H26">
        <v>300</v>
      </c>
      <c r="I26">
        <v>325</v>
      </c>
      <c r="J26">
        <v>350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75410-B362-4DB1-A9BC-050FD0D21231}">
  <sheetPr>
    <tabColor rgb="FFFFFF00"/>
  </sheetPr>
  <dimension ref="A1"/>
  <sheetViews>
    <sheetView workbookViewId="0">
      <selection activeCell="A3" sqref="A3"/>
    </sheetView>
  </sheetViews>
  <sheetFormatPr baseColWidth="10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CO21"/>
  <sheetViews>
    <sheetView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AC3" sqref="AC3:AN4"/>
    </sheetView>
  </sheetViews>
  <sheetFormatPr baseColWidth="10" defaultRowHeight="14.4" x14ac:dyDescent="0.3"/>
  <cols>
    <col min="2" max="2" width="14.5546875" customWidth="1"/>
    <col min="3" max="3" width="11.6640625" bestFit="1" customWidth="1"/>
    <col min="11" max="11" width="12.6640625" bestFit="1" customWidth="1"/>
    <col min="15" max="15" width="11.6640625" bestFit="1" customWidth="1"/>
    <col min="28" max="28" width="11.5546875" bestFit="1" customWidth="1"/>
    <col min="41" max="41" width="11.5546875" bestFit="1" customWidth="1"/>
    <col min="54" max="54" width="11.5546875" bestFit="1" customWidth="1"/>
    <col min="67" max="67" width="11.5546875" bestFit="1" customWidth="1"/>
    <col min="80" max="80" width="11.5546875" bestFit="1" customWidth="1"/>
    <col min="93" max="93" width="11.5546875" bestFit="1" customWidth="1"/>
  </cols>
  <sheetData>
    <row r="1" spans="1:93" s="4" customFormat="1" ht="28.8" x14ac:dyDescent="0.3">
      <c r="A1" s="2"/>
      <c r="B1" s="5" t="s">
        <v>91</v>
      </c>
      <c r="C1" s="6" t="s">
        <v>0</v>
      </c>
      <c r="D1" s="6" t="s">
        <v>1</v>
      </c>
      <c r="E1" s="6" t="s">
        <v>2</v>
      </c>
      <c r="F1" s="6" t="s">
        <v>3</v>
      </c>
      <c r="G1" s="6" t="s">
        <v>4</v>
      </c>
      <c r="H1" s="6" t="s">
        <v>5</v>
      </c>
      <c r="I1" s="6" t="s">
        <v>6</v>
      </c>
      <c r="J1" s="6" t="s">
        <v>7</v>
      </c>
      <c r="K1" s="6" t="s">
        <v>8</v>
      </c>
      <c r="L1" s="6" t="s">
        <v>9</v>
      </c>
      <c r="M1" s="6" t="s">
        <v>10</v>
      </c>
      <c r="N1" s="6" t="s">
        <v>11</v>
      </c>
      <c r="O1" s="7" t="s">
        <v>12</v>
      </c>
      <c r="P1" s="6" t="s">
        <v>13</v>
      </c>
      <c r="Q1" s="6" t="s">
        <v>14</v>
      </c>
      <c r="R1" s="6" t="s">
        <v>15</v>
      </c>
      <c r="S1" s="6" t="s">
        <v>16</v>
      </c>
      <c r="T1" s="6" t="s">
        <v>17</v>
      </c>
      <c r="U1" s="6" t="s">
        <v>18</v>
      </c>
      <c r="V1" s="6" t="s">
        <v>19</v>
      </c>
      <c r="W1" s="6" t="s">
        <v>20</v>
      </c>
      <c r="X1" s="6" t="s">
        <v>21</v>
      </c>
      <c r="Y1" s="6" t="s">
        <v>22</v>
      </c>
      <c r="Z1" s="6" t="s">
        <v>23</v>
      </c>
      <c r="AA1" s="6" t="s">
        <v>24</v>
      </c>
      <c r="AB1" s="7" t="s">
        <v>25</v>
      </c>
      <c r="AC1" s="6" t="s">
        <v>26</v>
      </c>
      <c r="AD1" s="6" t="s">
        <v>27</v>
      </c>
      <c r="AE1" s="6" t="s">
        <v>28</v>
      </c>
      <c r="AF1" s="6" t="s">
        <v>29</v>
      </c>
      <c r="AG1" s="6" t="s">
        <v>30</v>
      </c>
      <c r="AH1" s="6" t="s">
        <v>31</v>
      </c>
      <c r="AI1" s="6" t="s">
        <v>32</v>
      </c>
      <c r="AJ1" s="6" t="s">
        <v>33</v>
      </c>
      <c r="AK1" s="6" t="s">
        <v>34</v>
      </c>
      <c r="AL1" s="6" t="s">
        <v>35</v>
      </c>
      <c r="AM1" s="6" t="s">
        <v>36</v>
      </c>
      <c r="AN1" s="6" t="s">
        <v>37</v>
      </c>
      <c r="AO1" s="7" t="s">
        <v>38</v>
      </c>
      <c r="AP1" s="6" t="s">
        <v>39</v>
      </c>
      <c r="AQ1" s="6" t="s">
        <v>40</v>
      </c>
      <c r="AR1" s="6" t="s">
        <v>41</v>
      </c>
      <c r="AS1" s="6" t="s">
        <v>42</v>
      </c>
      <c r="AT1" s="6" t="s">
        <v>43</v>
      </c>
      <c r="AU1" s="6" t="s">
        <v>44</v>
      </c>
      <c r="AV1" s="6" t="s">
        <v>45</v>
      </c>
      <c r="AW1" s="6" t="s">
        <v>46</v>
      </c>
      <c r="AX1" s="6" t="s">
        <v>47</v>
      </c>
      <c r="AY1" s="6" t="s">
        <v>48</v>
      </c>
      <c r="AZ1" s="6" t="s">
        <v>49</v>
      </c>
      <c r="BA1" s="6" t="s">
        <v>50</v>
      </c>
      <c r="BB1" s="7" t="s">
        <v>51</v>
      </c>
      <c r="BC1" s="6" t="s">
        <v>52</v>
      </c>
      <c r="BD1" s="6" t="s">
        <v>53</v>
      </c>
      <c r="BE1" s="6" t="s">
        <v>54</v>
      </c>
      <c r="BF1" s="6" t="s">
        <v>55</v>
      </c>
      <c r="BG1" s="6" t="s">
        <v>56</v>
      </c>
      <c r="BH1" s="6" t="s">
        <v>57</v>
      </c>
      <c r="BI1" s="6" t="s">
        <v>58</v>
      </c>
      <c r="BJ1" s="6" t="s">
        <v>59</v>
      </c>
      <c r="BK1" s="6" t="s">
        <v>60</v>
      </c>
      <c r="BL1" s="6" t="s">
        <v>61</v>
      </c>
      <c r="BM1" s="6" t="s">
        <v>62</v>
      </c>
      <c r="BN1" s="6" t="s">
        <v>63</v>
      </c>
      <c r="BO1" s="7" t="s">
        <v>64</v>
      </c>
      <c r="BP1" s="2" t="s">
        <v>94</v>
      </c>
      <c r="BQ1" s="2" t="s">
        <v>95</v>
      </c>
      <c r="BR1" s="2" t="s">
        <v>96</v>
      </c>
      <c r="BS1" s="2" t="s">
        <v>97</v>
      </c>
      <c r="BT1" s="2" t="s">
        <v>98</v>
      </c>
      <c r="BU1" s="2" t="s">
        <v>99</v>
      </c>
      <c r="BV1" s="2" t="s">
        <v>100</v>
      </c>
      <c r="BW1" s="2" t="s">
        <v>101</v>
      </c>
      <c r="BX1" s="2" t="s">
        <v>102</v>
      </c>
      <c r="BY1" s="2" t="s">
        <v>103</v>
      </c>
      <c r="BZ1" s="2" t="s">
        <v>104</v>
      </c>
      <c r="CA1" s="2" t="s">
        <v>105</v>
      </c>
      <c r="CB1" s="11" t="s">
        <v>106</v>
      </c>
      <c r="CC1" s="2" t="s">
        <v>107</v>
      </c>
      <c r="CD1" s="2" t="s">
        <v>108</v>
      </c>
      <c r="CE1" s="2" t="s">
        <v>109</v>
      </c>
      <c r="CF1" s="2" t="s">
        <v>110</v>
      </c>
      <c r="CG1" s="2" t="s">
        <v>111</v>
      </c>
      <c r="CH1" s="2" t="s">
        <v>112</v>
      </c>
      <c r="CI1" s="2" t="s">
        <v>113</v>
      </c>
      <c r="CJ1" s="2" t="s">
        <v>114</v>
      </c>
      <c r="CK1" s="2" t="s">
        <v>115</v>
      </c>
      <c r="CL1" s="2" t="s">
        <v>116</v>
      </c>
      <c r="CM1" s="2" t="s">
        <v>117</v>
      </c>
      <c r="CN1" s="2" t="s">
        <v>118</v>
      </c>
      <c r="CO1" s="11" t="s">
        <v>119</v>
      </c>
    </row>
    <row r="2" spans="1:93" ht="28.8" x14ac:dyDescent="0.3">
      <c r="A2" s="5" t="str">
        <f>'Prix des produits et services '!B2</f>
        <v>Produit ou Service 1</v>
      </c>
      <c r="B2" s="9" t="str">
        <f>'Prix des produits et services '!C2</f>
        <v xml:space="preserve">Habits </v>
      </c>
      <c r="C2" s="28">
        <v>5</v>
      </c>
      <c r="D2" s="28">
        <v>10</v>
      </c>
      <c r="E2" s="28">
        <v>15</v>
      </c>
      <c r="F2" s="28">
        <v>20</v>
      </c>
      <c r="G2" s="28">
        <v>25</v>
      </c>
      <c r="H2" s="28">
        <v>30</v>
      </c>
      <c r="I2" s="28">
        <v>40</v>
      </c>
      <c r="J2" s="28">
        <v>45</v>
      </c>
      <c r="K2" s="28">
        <v>45</v>
      </c>
      <c r="L2" s="28">
        <v>45</v>
      </c>
      <c r="M2" s="28">
        <v>45</v>
      </c>
      <c r="N2" s="28">
        <v>45</v>
      </c>
      <c r="O2" s="100">
        <f>SUM(C2:N2)</f>
        <v>370</v>
      </c>
      <c r="P2" s="28">
        <v>50</v>
      </c>
      <c r="Q2" s="28">
        <v>55</v>
      </c>
      <c r="R2" s="28">
        <v>60</v>
      </c>
      <c r="S2" s="28">
        <v>65</v>
      </c>
      <c r="T2" s="28">
        <v>70</v>
      </c>
      <c r="U2" s="28">
        <v>75</v>
      </c>
      <c r="V2" s="28">
        <v>80</v>
      </c>
      <c r="W2" s="28">
        <v>85</v>
      </c>
      <c r="X2" s="28">
        <v>90</v>
      </c>
      <c r="Y2" s="28">
        <v>95</v>
      </c>
      <c r="Z2" s="28">
        <v>100</v>
      </c>
      <c r="AA2" s="28">
        <v>110</v>
      </c>
      <c r="AB2" s="100">
        <f>SUM(P2:AA2)</f>
        <v>935</v>
      </c>
      <c r="AC2" s="28">
        <v>130</v>
      </c>
      <c r="AD2" s="28">
        <f>AC2*1.01</f>
        <v>131.30000000000001</v>
      </c>
      <c r="AE2" s="28">
        <f t="shared" ref="AE2:AN2" si="0">AD2*1.01</f>
        <v>132.613</v>
      </c>
      <c r="AF2" s="28">
        <f t="shared" si="0"/>
        <v>133.93913000000001</v>
      </c>
      <c r="AG2" s="28">
        <f t="shared" si="0"/>
        <v>135.27852129999999</v>
      </c>
      <c r="AH2" s="28">
        <f t="shared" si="0"/>
        <v>136.631306513</v>
      </c>
      <c r="AI2" s="28">
        <f t="shared" si="0"/>
        <v>137.99761957813001</v>
      </c>
      <c r="AJ2" s="28">
        <f t="shared" si="0"/>
        <v>139.37759577391131</v>
      </c>
      <c r="AK2" s="28">
        <f t="shared" si="0"/>
        <v>140.77137173165042</v>
      </c>
      <c r="AL2" s="28">
        <f t="shared" si="0"/>
        <v>142.17908544896693</v>
      </c>
      <c r="AM2" s="28">
        <f t="shared" si="0"/>
        <v>143.6008763034566</v>
      </c>
      <c r="AN2" s="28">
        <f t="shared" si="0"/>
        <v>145.03688506649118</v>
      </c>
      <c r="AO2" s="100">
        <f>SUM(AC2:AN2)</f>
        <v>1648.7253917156061</v>
      </c>
      <c r="AP2" s="28">
        <f>AN2*1.03</f>
        <v>149.38799161848593</v>
      </c>
      <c r="AQ2" s="28">
        <f t="shared" ref="AQ2:BA2" si="1">AO2*1.03</f>
        <v>1698.1871534670743</v>
      </c>
      <c r="AR2" s="28">
        <f t="shared" si="1"/>
        <v>153.86963136704051</v>
      </c>
      <c r="AS2" s="28">
        <f t="shared" si="1"/>
        <v>1749.1327680710865</v>
      </c>
      <c r="AT2" s="28">
        <f t="shared" si="1"/>
        <v>158.48572030805173</v>
      </c>
      <c r="AU2" s="28">
        <f t="shared" si="1"/>
        <v>1801.6067511132192</v>
      </c>
      <c r="AV2" s="28">
        <f t="shared" si="1"/>
        <v>163.24029191729329</v>
      </c>
      <c r="AW2" s="28">
        <f t="shared" si="1"/>
        <v>1855.6549536466157</v>
      </c>
      <c r="AX2" s="28">
        <f t="shared" si="1"/>
        <v>168.13750067481209</v>
      </c>
      <c r="AY2" s="28">
        <f t="shared" si="1"/>
        <v>1911.3246022560143</v>
      </c>
      <c r="AZ2" s="28">
        <f t="shared" si="1"/>
        <v>173.18162569505645</v>
      </c>
      <c r="BA2" s="28">
        <f t="shared" si="1"/>
        <v>1968.6643403236947</v>
      </c>
      <c r="BB2" s="100">
        <f>SUM(AP2:BA2)</f>
        <v>11950.873330458446</v>
      </c>
      <c r="BC2" s="28">
        <f t="shared" ref="BC2" si="2">BA2*1.03</f>
        <v>2027.7242705334056</v>
      </c>
      <c r="BD2" s="28">
        <f t="shared" ref="BD2" si="3">BB2*1.03</f>
        <v>12309.399530372199</v>
      </c>
      <c r="BE2" s="28">
        <f t="shared" ref="BE2" si="4">BC2*1.03</f>
        <v>2088.5559986494077</v>
      </c>
      <c r="BF2" s="28">
        <f t="shared" ref="BF2" si="5">BD2*1.03</f>
        <v>12678.681516283365</v>
      </c>
      <c r="BG2" s="28">
        <f t="shared" ref="BG2" si="6">BE2*1.03</f>
        <v>2151.2126786088897</v>
      </c>
      <c r="BH2" s="28">
        <f t="shared" ref="BH2" si="7">BF2*1.03</f>
        <v>13059.041961771865</v>
      </c>
      <c r="BI2" s="28">
        <f t="shared" ref="BI2" si="8">BG2*1.03</f>
        <v>2215.7490589671565</v>
      </c>
      <c r="BJ2" s="28">
        <f t="shared" ref="BJ2" si="9">BH2*1.03</f>
        <v>13450.813220625021</v>
      </c>
      <c r="BK2" s="28">
        <f t="shared" ref="BK2" si="10">BI2*1.03</f>
        <v>2282.2215307361712</v>
      </c>
      <c r="BL2" s="28">
        <f t="shared" ref="BL2" si="11">BJ2*1.03</f>
        <v>13854.337617243773</v>
      </c>
      <c r="BM2" s="28">
        <f t="shared" ref="BM2" si="12">BK2*1.03</f>
        <v>2350.6881766582565</v>
      </c>
      <c r="BN2" s="28">
        <f t="shared" ref="BN2" si="13">BL2*1.03</f>
        <v>14269.967745761087</v>
      </c>
      <c r="BO2" s="100">
        <f t="shared" ref="BO2:BO4" si="14">SUM(BC2:BN2)</f>
        <v>92738.393306210593</v>
      </c>
      <c r="BP2" s="28">
        <f t="shared" ref="BP2" si="15">BN2*1.03</f>
        <v>14698.06677813392</v>
      </c>
      <c r="BQ2" s="28">
        <f t="shared" ref="BQ2" si="16">BO2*1.03</f>
        <v>95520.545105396915</v>
      </c>
      <c r="BR2" s="28">
        <f t="shared" ref="BR2" si="17">BP2*1.03</f>
        <v>15139.008781477938</v>
      </c>
      <c r="BS2" s="28">
        <f t="shared" ref="BS2" si="18">BQ2*1.03</f>
        <v>98386.161458558825</v>
      </c>
      <c r="BT2" s="28">
        <f t="shared" ref="BT2" si="19">BR2*1.03</f>
        <v>15593.179044922277</v>
      </c>
      <c r="BU2" s="28">
        <f t="shared" ref="BU2" si="20">BS2*1.03</f>
        <v>101337.74630231559</v>
      </c>
      <c r="BV2" s="28">
        <f t="shared" ref="BV2" si="21">BT2*1.03</f>
        <v>16060.974416269946</v>
      </c>
      <c r="BW2" s="28">
        <f t="shared" ref="BW2" si="22">BU2*1.03</f>
        <v>104377.87869138506</v>
      </c>
      <c r="BX2" s="28">
        <f t="shared" ref="BX2" si="23">BV2*1.03</f>
        <v>16542.803648758047</v>
      </c>
      <c r="BY2" s="28">
        <f t="shared" ref="BY2" si="24">BW2*1.03</f>
        <v>107509.21505212662</v>
      </c>
      <c r="BZ2" s="28">
        <f t="shared" ref="BZ2" si="25">BX2*1.03</f>
        <v>17039.087758220787</v>
      </c>
      <c r="CA2" s="28">
        <f t="shared" ref="CA2" si="26">BY2*1.03</f>
        <v>110734.49150369041</v>
      </c>
      <c r="CB2" s="100">
        <f t="shared" ref="CB2:CB4" si="27">SUM(BP2:CA2)</f>
        <v>712939.15854125621</v>
      </c>
      <c r="CC2" s="28">
        <f t="shared" ref="CC2" si="28">CA2*1.03</f>
        <v>114056.52624880112</v>
      </c>
      <c r="CD2" s="28">
        <f t="shared" ref="CD2" si="29">CB2*1.03</f>
        <v>734327.33329749387</v>
      </c>
      <c r="CE2" s="28">
        <f t="shared" ref="CE2" si="30">CC2*1.03</f>
        <v>117478.22203626516</v>
      </c>
      <c r="CF2" s="28">
        <f t="shared" ref="CF2" si="31">CD2*1.03</f>
        <v>756357.15329641872</v>
      </c>
      <c r="CG2" s="28">
        <f t="shared" ref="CG2" si="32">CE2*1.03</f>
        <v>121002.56869735311</v>
      </c>
      <c r="CH2" s="28">
        <f t="shared" ref="CH2" si="33">CF2*1.03</f>
        <v>779047.86789531133</v>
      </c>
      <c r="CI2" s="28">
        <f t="shared" ref="CI2" si="34">CG2*1.03</f>
        <v>124632.64575827371</v>
      </c>
      <c r="CJ2" s="28">
        <f t="shared" ref="CJ2" si="35">CH2*1.03</f>
        <v>802419.30393217073</v>
      </c>
      <c r="CK2" s="28">
        <f t="shared" ref="CK2" si="36">CI2*1.03</f>
        <v>128371.62513102192</v>
      </c>
      <c r="CL2" s="28">
        <f t="shared" ref="CL2" si="37">CJ2*1.03</f>
        <v>826491.88305013592</v>
      </c>
      <c r="CM2" s="28">
        <f t="shared" ref="CM2" si="38">CK2*1.03</f>
        <v>132222.77388495259</v>
      </c>
      <c r="CN2" s="28">
        <f t="shared" ref="CN2" si="39">CL2*1.03</f>
        <v>851286.63954164006</v>
      </c>
      <c r="CO2" s="100">
        <f t="shared" ref="CO2:CO4" si="40">SUM(CC2:CN2)</f>
        <v>5487694.5427698381</v>
      </c>
    </row>
    <row r="3" spans="1:93" ht="28.8" x14ac:dyDescent="0.3">
      <c r="A3" s="5" t="str">
        <f>'Prix des produits et services '!B3</f>
        <v>Produit ou Service 2</v>
      </c>
      <c r="B3" s="9">
        <f>'Prix des produits et services '!C3</f>
        <v>0</v>
      </c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100">
        <f t="shared" ref="O3:O21" si="41">SUM(C3:N3)</f>
        <v>0</v>
      </c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100">
        <f t="shared" ref="AB3:AB21" si="42">SUM(P3:AA3)</f>
        <v>0</v>
      </c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100">
        <f t="shared" ref="AO3:AO21" si="43">SUM(AC3:AN3)</f>
        <v>0</v>
      </c>
      <c r="AP3" s="28">
        <f>AN3*1.045</f>
        <v>0</v>
      </c>
      <c r="AQ3" s="28">
        <f t="shared" ref="AQ3:BA4" si="44">AO3*1.045</f>
        <v>0</v>
      </c>
      <c r="AR3" s="28">
        <f t="shared" si="44"/>
        <v>0</v>
      </c>
      <c r="AS3" s="28">
        <f t="shared" si="44"/>
        <v>0</v>
      </c>
      <c r="AT3" s="28">
        <f t="shared" si="44"/>
        <v>0</v>
      </c>
      <c r="AU3" s="28">
        <f t="shared" si="44"/>
        <v>0</v>
      </c>
      <c r="AV3" s="28">
        <f t="shared" si="44"/>
        <v>0</v>
      </c>
      <c r="AW3" s="28">
        <f t="shared" si="44"/>
        <v>0</v>
      </c>
      <c r="AX3" s="28">
        <f t="shared" si="44"/>
        <v>0</v>
      </c>
      <c r="AY3" s="28">
        <f t="shared" si="44"/>
        <v>0</v>
      </c>
      <c r="AZ3" s="28">
        <f t="shared" si="44"/>
        <v>0</v>
      </c>
      <c r="BA3" s="28">
        <f t="shared" si="44"/>
        <v>0</v>
      </c>
      <c r="BB3" s="100">
        <f t="shared" ref="BB3:BB21" si="45">SUM(AP3:BA3)</f>
        <v>0</v>
      </c>
      <c r="BC3" s="28">
        <f t="shared" ref="BC3:BC4" si="46">BA3*1.045</f>
        <v>0</v>
      </c>
      <c r="BD3" s="28">
        <f t="shared" ref="BD3:BD4" si="47">BB3*1.045</f>
        <v>0</v>
      </c>
      <c r="BE3" s="28">
        <f t="shared" ref="BE3:BE4" si="48">BC3*1.045</f>
        <v>0</v>
      </c>
      <c r="BF3" s="28">
        <f t="shared" ref="BF3:BF4" si="49">BD3*1.045</f>
        <v>0</v>
      </c>
      <c r="BG3" s="28">
        <f t="shared" ref="BG3:BG4" si="50">BE3*1.045</f>
        <v>0</v>
      </c>
      <c r="BH3" s="28">
        <f t="shared" ref="BH3:BH4" si="51">BF3*1.045</f>
        <v>0</v>
      </c>
      <c r="BI3" s="28">
        <f t="shared" ref="BI3:BI4" si="52">BG3*1.045</f>
        <v>0</v>
      </c>
      <c r="BJ3" s="28">
        <f t="shared" ref="BJ3:BJ4" si="53">BH3*1.045</f>
        <v>0</v>
      </c>
      <c r="BK3" s="28">
        <f t="shared" ref="BK3:BK4" si="54">BI3*1.045</f>
        <v>0</v>
      </c>
      <c r="BL3" s="28">
        <f t="shared" ref="BL3:BL4" si="55">BJ3*1.045</f>
        <v>0</v>
      </c>
      <c r="BM3" s="28">
        <f t="shared" ref="BM3:BM4" si="56">BK3*1.045</f>
        <v>0</v>
      </c>
      <c r="BN3" s="28">
        <f t="shared" ref="BN3:BN4" si="57">BL3*1.045</f>
        <v>0</v>
      </c>
      <c r="BO3" s="100">
        <f t="shared" si="14"/>
        <v>0</v>
      </c>
      <c r="BP3" s="28">
        <f t="shared" ref="BP3:BP4" si="58">BN3*1.045</f>
        <v>0</v>
      </c>
      <c r="BQ3" s="28">
        <f t="shared" ref="BQ3:BQ4" si="59">BO3*1.045</f>
        <v>0</v>
      </c>
      <c r="BR3" s="28">
        <f t="shared" ref="BR3:BR4" si="60">BP3*1.045</f>
        <v>0</v>
      </c>
      <c r="BS3" s="28">
        <f t="shared" ref="BS3:BS4" si="61">BQ3*1.045</f>
        <v>0</v>
      </c>
      <c r="BT3" s="28">
        <f t="shared" ref="BT3:BT4" si="62">BR3*1.045</f>
        <v>0</v>
      </c>
      <c r="BU3" s="28">
        <f t="shared" ref="BU3:BU4" si="63">BS3*1.045</f>
        <v>0</v>
      </c>
      <c r="BV3" s="28">
        <f t="shared" ref="BV3:BV4" si="64">BT3*1.045</f>
        <v>0</v>
      </c>
      <c r="BW3" s="28">
        <f t="shared" ref="BW3:BW4" si="65">BU3*1.045</f>
        <v>0</v>
      </c>
      <c r="BX3" s="28">
        <f t="shared" ref="BX3:BX4" si="66">BV3*1.045</f>
        <v>0</v>
      </c>
      <c r="BY3" s="28">
        <f t="shared" ref="BY3:BY4" si="67">BW3*1.045</f>
        <v>0</v>
      </c>
      <c r="BZ3" s="28">
        <f t="shared" ref="BZ3:BZ4" si="68">BX3*1.045</f>
        <v>0</v>
      </c>
      <c r="CA3" s="28">
        <f t="shared" ref="CA3:CA4" si="69">BY3*1.045</f>
        <v>0</v>
      </c>
      <c r="CB3" s="100">
        <f t="shared" si="27"/>
        <v>0</v>
      </c>
      <c r="CC3" s="28">
        <f t="shared" ref="CC3:CC4" si="70">CA3*1.045</f>
        <v>0</v>
      </c>
      <c r="CD3" s="28">
        <f t="shared" ref="CD3:CD4" si="71">CB3*1.045</f>
        <v>0</v>
      </c>
      <c r="CE3" s="28">
        <f t="shared" ref="CE3:CE4" si="72">CC3*1.045</f>
        <v>0</v>
      </c>
      <c r="CF3" s="28">
        <f t="shared" ref="CF3:CF4" si="73">CD3*1.045</f>
        <v>0</v>
      </c>
      <c r="CG3" s="28">
        <f t="shared" ref="CG3:CG4" si="74">CE3*1.045</f>
        <v>0</v>
      </c>
      <c r="CH3" s="28">
        <f t="shared" ref="CH3:CH4" si="75">CF3*1.045</f>
        <v>0</v>
      </c>
      <c r="CI3" s="28">
        <f t="shared" ref="CI3:CI4" si="76">CG3*1.045</f>
        <v>0</v>
      </c>
      <c r="CJ3" s="28">
        <f t="shared" ref="CJ3:CJ4" si="77">CH3*1.045</f>
        <v>0</v>
      </c>
      <c r="CK3" s="28">
        <f t="shared" ref="CK3:CK4" si="78">CI3*1.045</f>
        <v>0</v>
      </c>
      <c r="CL3" s="28">
        <f t="shared" ref="CL3:CL4" si="79">CJ3*1.045</f>
        <v>0</v>
      </c>
      <c r="CM3" s="28">
        <f t="shared" ref="CM3:CM4" si="80">CK3*1.045</f>
        <v>0</v>
      </c>
      <c r="CN3" s="28">
        <f t="shared" ref="CN3:CN4" si="81">CL3*1.045</f>
        <v>0</v>
      </c>
      <c r="CO3" s="100">
        <f t="shared" si="40"/>
        <v>0</v>
      </c>
    </row>
    <row r="4" spans="1:93" ht="28.8" x14ac:dyDescent="0.3">
      <c r="A4" s="5" t="str">
        <f>'Prix des produits et services '!B4</f>
        <v>Produit ou Service 3</v>
      </c>
      <c r="B4" s="9">
        <f>'Prix des produits et services '!C4</f>
        <v>0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100">
        <f t="shared" si="41"/>
        <v>0</v>
      </c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100">
        <f t="shared" si="42"/>
        <v>0</v>
      </c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100">
        <f t="shared" si="43"/>
        <v>0</v>
      </c>
      <c r="AP4" s="28">
        <f>AN4*1.045</f>
        <v>0</v>
      </c>
      <c r="AQ4" s="28">
        <f t="shared" si="44"/>
        <v>0</v>
      </c>
      <c r="AR4" s="28">
        <f t="shared" si="44"/>
        <v>0</v>
      </c>
      <c r="AS4" s="28">
        <f t="shared" si="44"/>
        <v>0</v>
      </c>
      <c r="AT4" s="28">
        <f t="shared" si="44"/>
        <v>0</v>
      </c>
      <c r="AU4" s="28">
        <f t="shared" si="44"/>
        <v>0</v>
      </c>
      <c r="AV4" s="28">
        <f t="shared" si="44"/>
        <v>0</v>
      </c>
      <c r="AW4" s="28">
        <f t="shared" si="44"/>
        <v>0</v>
      </c>
      <c r="AX4" s="28">
        <f t="shared" si="44"/>
        <v>0</v>
      </c>
      <c r="AY4" s="28">
        <f t="shared" si="44"/>
        <v>0</v>
      </c>
      <c r="AZ4" s="28">
        <f t="shared" si="44"/>
        <v>0</v>
      </c>
      <c r="BA4" s="28">
        <f t="shared" si="44"/>
        <v>0</v>
      </c>
      <c r="BB4" s="100">
        <f t="shared" si="45"/>
        <v>0</v>
      </c>
      <c r="BC4" s="28">
        <f t="shared" si="46"/>
        <v>0</v>
      </c>
      <c r="BD4" s="28">
        <f t="shared" si="47"/>
        <v>0</v>
      </c>
      <c r="BE4" s="28">
        <f t="shared" si="48"/>
        <v>0</v>
      </c>
      <c r="BF4" s="28">
        <f t="shared" si="49"/>
        <v>0</v>
      </c>
      <c r="BG4" s="28">
        <f t="shared" si="50"/>
        <v>0</v>
      </c>
      <c r="BH4" s="28">
        <f t="shared" si="51"/>
        <v>0</v>
      </c>
      <c r="BI4" s="28">
        <f t="shared" si="52"/>
        <v>0</v>
      </c>
      <c r="BJ4" s="28">
        <f t="shared" si="53"/>
        <v>0</v>
      </c>
      <c r="BK4" s="28">
        <f t="shared" si="54"/>
        <v>0</v>
      </c>
      <c r="BL4" s="28">
        <f t="shared" si="55"/>
        <v>0</v>
      </c>
      <c r="BM4" s="28">
        <f t="shared" si="56"/>
        <v>0</v>
      </c>
      <c r="BN4" s="28">
        <f t="shared" si="57"/>
        <v>0</v>
      </c>
      <c r="BO4" s="100">
        <f t="shared" si="14"/>
        <v>0</v>
      </c>
      <c r="BP4" s="28">
        <f t="shared" si="58"/>
        <v>0</v>
      </c>
      <c r="BQ4" s="28">
        <f t="shared" si="59"/>
        <v>0</v>
      </c>
      <c r="BR4" s="28">
        <f t="shared" si="60"/>
        <v>0</v>
      </c>
      <c r="BS4" s="28">
        <f t="shared" si="61"/>
        <v>0</v>
      </c>
      <c r="BT4" s="28">
        <f t="shared" si="62"/>
        <v>0</v>
      </c>
      <c r="BU4" s="28">
        <f t="shared" si="63"/>
        <v>0</v>
      </c>
      <c r="BV4" s="28">
        <f t="shared" si="64"/>
        <v>0</v>
      </c>
      <c r="BW4" s="28">
        <f t="shared" si="65"/>
        <v>0</v>
      </c>
      <c r="BX4" s="28">
        <f t="shared" si="66"/>
        <v>0</v>
      </c>
      <c r="BY4" s="28">
        <f t="shared" si="67"/>
        <v>0</v>
      </c>
      <c r="BZ4" s="28">
        <f t="shared" si="68"/>
        <v>0</v>
      </c>
      <c r="CA4" s="28">
        <f t="shared" si="69"/>
        <v>0</v>
      </c>
      <c r="CB4" s="100">
        <f t="shared" si="27"/>
        <v>0</v>
      </c>
      <c r="CC4" s="28">
        <f t="shared" si="70"/>
        <v>0</v>
      </c>
      <c r="CD4" s="28">
        <f t="shared" si="71"/>
        <v>0</v>
      </c>
      <c r="CE4" s="28">
        <f t="shared" si="72"/>
        <v>0</v>
      </c>
      <c r="CF4" s="28">
        <f t="shared" si="73"/>
        <v>0</v>
      </c>
      <c r="CG4" s="28">
        <f t="shared" si="74"/>
        <v>0</v>
      </c>
      <c r="CH4" s="28">
        <f t="shared" si="75"/>
        <v>0</v>
      </c>
      <c r="CI4" s="28">
        <f t="shared" si="76"/>
        <v>0</v>
      </c>
      <c r="CJ4" s="28">
        <f t="shared" si="77"/>
        <v>0</v>
      </c>
      <c r="CK4" s="28">
        <f t="shared" si="78"/>
        <v>0</v>
      </c>
      <c r="CL4" s="28">
        <f t="shared" si="79"/>
        <v>0</v>
      </c>
      <c r="CM4" s="28">
        <f t="shared" si="80"/>
        <v>0</v>
      </c>
      <c r="CN4" s="28">
        <f t="shared" si="81"/>
        <v>0</v>
      </c>
      <c r="CO4" s="100">
        <f t="shared" si="40"/>
        <v>0</v>
      </c>
    </row>
    <row r="5" spans="1:93" ht="28.8" x14ac:dyDescent="0.3">
      <c r="A5" s="5" t="str">
        <f>'Prix des produits et services '!B5</f>
        <v>Produit ou Service 4</v>
      </c>
      <c r="B5" s="9">
        <f>'Prix des produits et services '!C5</f>
        <v>0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100">
        <f t="shared" si="41"/>
        <v>0</v>
      </c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100">
        <f t="shared" si="42"/>
        <v>0</v>
      </c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100">
        <f t="shared" si="43"/>
        <v>0</v>
      </c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100">
        <f t="shared" si="45"/>
        <v>0</v>
      </c>
      <c r="BC5" s="28"/>
      <c r="BD5" s="28"/>
      <c r="BE5" s="28"/>
      <c r="BF5" s="28"/>
      <c r="BG5" s="28"/>
      <c r="BH5" s="28"/>
      <c r="BI5" s="28"/>
      <c r="BJ5" s="28"/>
      <c r="BK5" s="28"/>
      <c r="BL5" s="28"/>
      <c r="BM5" s="28"/>
      <c r="BN5" s="28"/>
      <c r="BO5" s="100">
        <f t="shared" ref="BO5:BO21" si="82">SUM(BC5:BN5)</f>
        <v>0</v>
      </c>
      <c r="BP5" s="28"/>
      <c r="BQ5" s="28"/>
      <c r="BR5" s="28"/>
      <c r="BS5" s="28"/>
      <c r="BT5" s="28"/>
      <c r="BU5" s="28"/>
      <c r="BV5" s="28"/>
      <c r="BW5" s="28"/>
      <c r="BX5" s="28"/>
      <c r="BY5" s="28"/>
      <c r="BZ5" s="28"/>
      <c r="CA5" s="28"/>
      <c r="CB5" s="100">
        <f t="shared" ref="CB5:CB21" si="83">SUM(BP5:CA5)</f>
        <v>0</v>
      </c>
      <c r="CC5" s="28"/>
      <c r="CD5" s="28"/>
      <c r="CE5" s="28"/>
      <c r="CF5" s="28"/>
      <c r="CG5" s="28"/>
      <c r="CH5" s="28"/>
      <c r="CI5" s="28"/>
      <c r="CJ5" s="28"/>
      <c r="CK5" s="28"/>
      <c r="CL5" s="28"/>
      <c r="CM5" s="28"/>
      <c r="CN5" s="28"/>
      <c r="CO5" s="100">
        <f t="shared" ref="CO5:CO20" si="84">SUM(CC5:CN5)</f>
        <v>0</v>
      </c>
    </row>
    <row r="6" spans="1:93" ht="28.8" x14ac:dyDescent="0.3">
      <c r="A6" s="5" t="str">
        <f>'Prix des produits et services '!B6</f>
        <v>Produit ou Service 5</v>
      </c>
      <c r="B6" s="9">
        <f>'Prix des produits et services '!C6</f>
        <v>0</v>
      </c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100">
        <f t="shared" si="41"/>
        <v>0</v>
      </c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100">
        <f t="shared" si="42"/>
        <v>0</v>
      </c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100">
        <f t="shared" si="43"/>
        <v>0</v>
      </c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100">
        <f t="shared" si="45"/>
        <v>0</v>
      </c>
      <c r="BC6" s="28"/>
      <c r="BD6" s="28"/>
      <c r="BE6" s="28"/>
      <c r="BF6" s="28"/>
      <c r="BG6" s="28"/>
      <c r="BH6" s="28"/>
      <c r="BI6" s="28"/>
      <c r="BJ6" s="28"/>
      <c r="BK6" s="28"/>
      <c r="BL6" s="28"/>
      <c r="BM6" s="28"/>
      <c r="BN6" s="28"/>
      <c r="BO6" s="100">
        <f t="shared" si="82"/>
        <v>0</v>
      </c>
      <c r="BP6" s="28"/>
      <c r="BQ6" s="28"/>
      <c r="BR6" s="28"/>
      <c r="BS6" s="28"/>
      <c r="BT6" s="28"/>
      <c r="BU6" s="28"/>
      <c r="BV6" s="28"/>
      <c r="BW6" s="28"/>
      <c r="BX6" s="28"/>
      <c r="BY6" s="28"/>
      <c r="BZ6" s="28"/>
      <c r="CA6" s="28"/>
      <c r="CB6" s="100">
        <f t="shared" si="83"/>
        <v>0</v>
      </c>
      <c r="CC6" s="28"/>
      <c r="CD6" s="28"/>
      <c r="CE6" s="28"/>
      <c r="CF6" s="28"/>
      <c r="CG6" s="28"/>
      <c r="CH6" s="28"/>
      <c r="CI6" s="28"/>
      <c r="CJ6" s="28"/>
      <c r="CK6" s="28"/>
      <c r="CL6" s="28"/>
      <c r="CM6" s="28"/>
      <c r="CN6" s="28"/>
      <c r="CO6" s="100">
        <f t="shared" si="84"/>
        <v>0</v>
      </c>
    </row>
    <row r="7" spans="1:93" ht="28.8" x14ac:dyDescent="0.3">
      <c r="A7" s="5" t="str">
        <f>'Prix des produits et services '!B7</f>
        <v>Produit ou Service 6</v>
      </c>
      <c r="B7" s="9">
        <f>'Prix des produits et services '!C7</f>
        <v>0</v>
      </c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100">
        <f t="shared" si="41"/>
        <v>0</v>
      </c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100">
        <f t="shared" si="42"/>
        <v>0</v>
      </c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100">
        <f t="shared" si="43"/>
        <v>0</v>
      </c>
      <c r="AP7" s="28"/>
      <c r="AQ7" s="28"/>
      <c r="AR7" s="28"/>
      <c r="AS7" s="28"/>
      <c r="AT7" s="28"/>
      <c r="AU7" s="28"/>
      <c r="AV7" s="28"/>
      <c r="AW7" s="28"/>
      <c r="AX7" s="28"/>
      <c r="AY7" s="28"/>
      <c r="AZ7" s="28"/>
      <c r="BA7" s="28"/>
      <c r="BB7" s="100">
        <f t="shared" si="45"/>
        <v>0</v>
      </c>
      <c r="BC7" s="28"/>
      <c r="BD7" s="28"/>
      <c r="BE7" s="28"/>
      <c r="BF7" s="28"/>
      <c r="BG7" s="28"/>
      <c r="BH7" s="28"/>
      <c r="BI7" s="28"/>
      <c r="BJ7" s="28"/>
      <c r="BK7" s="28"/>
      <c r="BL7" s="28"/>
      <c r="BM7" s="28"/>
      <c r="BN7" s="28"/>
      <c r="BO7" s="100">
        <f t="shared" si="82"/>
        <v>0</v>
      </c>
      <c r="BP7" s="28"/>
      <c r="BQ7" s="28"/>
      <c r="BR7" s="28"/>
      <c r="BS7" s="28"/>
      <c r="BT7" s="28"/>
      <c r="BU7" s="28"/>
      <c r="BV7" s="28"/>
      <c r="BW7" s="28"/>
      <c r="BX7" s="28"/>
      <c r="BY7" s="28"/>
      <c r="BZ7" s="28"/>
      <c r="CA7" s="28"/>
      <c r="CB7" s="100">
        <f t="shared" si="83"/>
        <v>0</v>
      </c>
      <c r="CC7" s="28"/>
      <c r="CD7" s="28"/>
      <c r="CE7" s="28"/>
      <c r="CF7" s="28"/>
      <c r="CG7" s="28"/>
      <c r="CH7" s="28"/>
      <c r="CI7" s="28"/>
      <c r="CJ7" s="28"/>
      <c r="CK7" s="28"/>
      <c r="CL7" s="28"/>
      <c r="CM7" s="28"/>
      <c r="CN7" s="28"/>
      <c r="CO7" s="100">
        <f t="shared" si="84"/>
        <v>0</v>
      </c>
    </row>
    <row r="8" spans="1:93" ht="28.8" x14ac:dyDescent="0.3">
      <c r="A8" s="5" t="str">
        <f>'Prix des produits et services '!B8</f>
        <v>Produit ou Service 7</v>
      </c>
      <c r="B8" s="9">
        <f>'Prix des produits et services '!C8</f>
        <v>0</v>
      </c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100">
        <f t="shared" si="41"/>
        <v>0</v>
      </c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100">
        <f t="shared" si="42"/>
        <v>0</v>
      </c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100">
        <f t="shared" si="43"/>
        <v>0</v>
      </c>
      <c r="AP8" s="28"/>
      <c r="AQ8" s="28"/>
      <c r="AR8" s="28"/>
      <c r="AS8" s="28"/>
      <c r="AT8" s="28"/>
      <c r="AU8" s="28"/>
      <c r="AV8" s="28"/>
      <c r="AW8" s="28"/>
      <c r="AX8" s="28"/>
      <c r="AY8" s="28"/>
      <c r="AZ8" s="28"/>
      <c r="BA8" s="28"/>
      <c r="BB8" s="100">
        <f t="shared" si="45"/>
        <v>0</v>
      </c>
      <c r="BC8" s="28"/>
      <c r="BD8" s="28"/>
      <c r="BE8" s="28"/>
      <c r="BF8" s="28"/>
      <c r="BG8" s="28"/>
      <c r="BH8" s="28"/>
      <c r="BI8" s="28"/>
      <c r="BJ8" s="28"/>
      <c r="BK8" s="28"/>
      <c r="BL8" s="28"/>
      <c r="BM8" s="28"/>
      <c r="BN8" s="28"/>
      <c r="BO8" s="100">
        <f t="shared" si="82"/>
        <v>0</v>
      </c>
      <c r="BP8" s="28"/>
      <c r="BQ8" s="28"/>
      <c r="BR8" s="28"/>
      <c r="BS8" s="28"/>
      <c r="BT8" s="28"/>
      <c r="BU8" s="28"/>
      <c r="BV8" s="28"/>
      <c r="BW8" s="28"/>
      <c r="BX8" s="28"/>
      <c r="BY8" s="28"/>
      <c r="BZ8" s="28"/>
      <c r="CA8" s="28"/>
      <c r="CB8" s="100">
        <f t="shared" si="83"/>
        <v>0</v>
      </c>
      <c r="CC8" s="28"/>
      <c r="CD8" s="28"/>
      <c r="CE8" s="28"/>
      <c r="CF8" s="28"/>
      <c r="CG8" s="28"/>
      <c r="CH8" s="28"/>
      <c r="CI8" s="28"/>
      <c r="CJ8" s="28"/>
      <c r="CK8" s="28"/>
      <c r="CL8" s="28"/>
      <c r="CM8" s="28"/>
      <c r="CN8" s="28"/>
      <c r="CO8" s="100">
        <f t="shared" si="84"/>
        <v>0</v>
      </c>
    </row>
    <row r="9" spans="1:93" ht="28.8" x14ac:dyDescent="0.3">
      <c r="A9" s="5" t="str">
        <f>'Prix des produits et services '!B9</f>
        <v>Produit ou Service 8</v>
      </c>
      <c r="B9" s="9">
        <f>'Prix des produits et services '!C9</f>
        <v>0</v>
      </c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100">
        <f t="shared" si="41"/>
        <v>0</v>
      </c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100">
        <f t="shared" si="42"/>
        <v>0</v>
      </c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100">
        <f t="shared" si="43"/>
        <v>0</v>
      </c>
      <c r="AP9" s="28"/>
      <c r="AQ9" s="28"/>
      <c r="AR9" s="28"/>
      <c r="AS9" s="28"/>
      <c r="AT9" s="28"/>
      <c r="AU9" s="28"/>
      <c r="AV9" s="28"/>
      <c r="AW9" s="28"/>
      <c r="AX9" s="28"/>
      <c r="AY9" s="28"/>
      <c r="AZ9" s="28"/>
      <c r="BA9" s="28"/>
      <c r="BB9" s="100">
        <f t="shared" si="45"/>
        <v>0</v>
      </c>
      <c r="BC9" s="28"/>
      <c r="BD9" s="28"/>
      <c r="BE9" s="28"/>
      <c r="BF9" s="28"/>
      <c r="BG9" s="28"/>
      <c r="BH9" s="28"/>
      <c r="BI9" s="28"/>
      <c r="BJ9" s="28"/>
      <c r="BK9" s="28"/>
      <c r="BL9" s="28"/>
      <c r="BM9" s="28"/>
      <c r="BN9" s="28"/>
      <c r="BO9" s="100">
        <f t="shared" si="82"/>
        <v>0</v>
      </c>
      <c r="BP9" s="28"/>
      <c r="BQ9" s="28"/>
      <c r="BR9" s="28"/>
      <c r="BS9" s="28"/>
      <c r="BT9" s="28"/>
      <c r="BU9" s="28"/>
      <c r="BV9" s="28"/>
      <c r="BW9" s="28"/>
      <c r="BX9" s="28"/>
      <c r="BY9" s="28"/>
      <c r="BZ9" s="28"/>
      <c r="CA9" s="28"/>
      <c r="CB9" s="100">
        <f t="shared" si="83"/>
        <v>0</v>
      </c>
      <c r="CC9" s="28"/>
      <c r="CD9" s="28"/>
      <c r="CE9" s="28"/>
      <c r="CF9" s="28"/>
      <c r="CG9" s="28"/>
      <c r="CH9" s="28"/>
      <c r="CI9" s="28"/>
      <c r="CJ9" s="28"/>
      <c r="CK9" s="28"/>
      <c r="CL9" s="28"/>
      <c r="CM9" s="28"/>
      <c r="CN9" s="28"/>
      <c r="CO9" s="100">
        <f t="shared" si="84"/>
        <v>0</v>
      </c>
    </row>
    <row r="10" spans="1:93" ht="28.8" x14ac:dyDescent="0.3">
      <c r="A10" s="5" t="str">
        <f>'Prix des produits et services '!B10</f>
        <v>Produit ou Service 9</v>
      </c>
      <c r="B10" s="9">
        <f>'Prix des produits et services '!C10</f>
        <v>0</v>
      </c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100">
        <f t="shared" si="41"/>
        <v>0</v>
      </c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100">
        <f t="shared" si="42"/>
        <v>0</v>
      </c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100">
        <f t="shared" si="43"/>
        <v>0</v>
      </c>
      <c r="AP10" s="28"/>
      <c r="AQ10" s="28"/>
      <c r="AR10" s="28"/>
      <c r="AS10" s="28"/>
      <c r="AT10" s="28"/>
      <c r="AU10" s="28"/>
      <c r="AV10" s="28"/>
      <c r="AW10" s="28"/>
      <c r="AX10" s="28"/>
      <c r="AY10" s="28"/>
      <c r="AZ10" s="28"/>
      <c r="BA10" s="28"/>
      <c r="BB10" s="100">
        <f t="shared" si="45"/>
        <v>0</v>
      </c>
      <c r="BC10" s="28"/>
      <c r="BD10" s="28"/>
      <c r="BE10" s="28"/>
      <c r="BF10" s="28"/>
      <c r="BG10" s="28"/>
      <c r="BH10" s="28"/>
      <c r="BI10" s="28"/>
      <c r="BJ10" s="28"/>
      <c r="BK10" s="28"/>
      <c r="BL10" s="28"/>
      <c r="BM10" s="28"/>
      <c r="BN10" s="28"/>
      <c r="BO10" s="100">
        <f t="shared" si="82"/>
        <v>0</v>
      </c>
      <c r="BP10" s="28"/>
      <c r="BQ10" s="28"/>
      <c r="BR10" s="28"/>
      <c r="BS10" s="28"/>
      <c r="BT10" s="28"/>
      <c r="BU10" s="28"/>
      <c r="BV10" s="28"/>
      <c r="BW10" s="28"/>
      <c r="BX10" s="28"/>
      <c r="BY10" s="28"/>
      <c r="BZ10" s="28"/>
      <c r="CA10" s="28"/>
      <c r="CB10" s="100">
        <f t="shared" si="83"/>
        <v>0</v>
      </c>
      <c r="CC10" s="28"/>
      <c r="CD10" s="28"/>
      <c r="CE10" s="28"/>
      <c r="CF10" s="28"/>
      <c r="CG10" s="28"/>
      <c r="CH10" s="28"/>
      <c r="CI10" s="28"/>
      <c r="CJ10" s="28"/>
      <c r="CK10" s="28"/>
      <c r="CL10" s="28"/>
      <c r="CM10" s="28"/>
      <c r="CN10" s="28"/>
      <c r="CO10" s="100">
        <f t="shared" si="84"/>
        <v>0</v>
      </c>
    </row>
    <row r="11" spans="1:93" ht="28.8" x14ac:dyDescent="0.3">
      <c r="A11" s="5" t="str">
        <f>'Prix des produits et services '!B11</f>
        <v>Produit ou Service 10</v>
      </c>
      <c r="B11" s="9">
        <f>'Prix des produits et services '!C11</f>
        <v>0</v>
      </c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100">
        <f t="shared" si="41"/>
        <v>0</v>
      </c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100">
        <f t="shared" si="42"/>
        <v>0</v>
      </c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100">
        <f t="shared" si="43"/>
        <v>0</v>
      </c>
      <c r="AP11" s="28"/>
      <c r="AQ11" s="28"/>
      <c r="AR11" s="28"/>
      <c r="AS11" s="28"/>
      <c r="AT11" s="28"/>
      <c r="AU11" s="28"/>
      <c r="AV11" s="28"/>
      <c r="AW11" s="28"/>
      <c r="AX11" s="28"/>
      <c r="AY11" s="28"/>
      <c r="AZ11" s="28"/>
      <c r="BA11" s="28"/>
      <c r="BB11" s="100">
        <f t="shared" si="45"/>
        <v>0</v>
      </c>
      <c r="BC11" s="28"/>
      <c r="BD11" s="28"/>
      <c r="BE11" s="28"/>
      <c r="BF11" s="28"/>
      <c r="BG11" s="28"/>
      <c r="BH11" s="28"/>
      <c r="BI11" s="28"/>
      <c r="BJ11" s="28"/>
      <c r="BK11" s="28"/>
      <c r="BL11" s="28"/>
      <c r="BM11" s="28"/>
      <c r="BN11" s="28"/>
      <c r="BO11" s="100">
        <f t="shared" si="82"/>
        <v>0</v>
      </c>
      <c r="BP11" s="28"/>
      <c r="BQ11" s="28"/>
      <c r="BR11" s="28"/>
      <c r="BS11" s="28"/>
      <c r="BT11" s="28"/>
      <c r="BU11" s="28"/>
      <c r="BV11" s="28"/>
      <c r="BW11" s="28"/>
      <c r="BX11" s="28"/>
      <c r="BY11" s="28"/>
      <c r="BZ11" s="28"/>
      <c r="CA11" s="28"/>
      <c r="CB11" s="100">
        <f t="shared" si="83"/>
        <v>0</v>
      </c>
      <c r="CC11" s="28"/>
      <c r="CD11" s="28"/>
      <c r="CE11" s="28"/>
      <c r="CF11" s="28"/>
      <c r="CG11" s="28"/>
      <c r="CH11" s="28"/>
      <c r="CI11" s="28"/>
      <c r="CJ11" s="28"/>
      <c r="CK11" s="28"/>
      <c r="CL11" s="28"/>
      <c r="CM11" s="28"/>
      <c r="CN11" s="28"/>
      <c r="CO11" s="100">
        <f t="shared" si="84"/>
        <v>0</v>
      </c>
    </row>
    <row r="12" spans="1:93" ht="28.8" x14ac:dyDescent="0.3">
      <c r="A12" s="5" t="str">
        <f>'Prix des produits et services '!B12</f>
        <v>Produit ou Service 11</v>
      </c>
      <c r="B12" s="9">
        <f>'Prix des produits et services '!C12</f>
        <v>0</v>
      </c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100">
        <f t="shared" si="41"/>
        <v>0</v>
      </c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100">
        <f t="shared" si="42"/>
        <v>0</v>
      </c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100">
        <f t="shared" si="43"/>
        <v>0</v>
      </c>
      <c r="AP12" s="28"/>
      <c r="AQ12" s="28"/>
      <c r="AR12" s="28"/>
      <c r="AS12" s="28"/>
      <c r="AT12" s="28"/>
      <c r="AU12" s="28"/>
      <c r="AV12" s="28"/>
      <c r="AW12" s="28"/>
      <c r="AX12" s="28"/>
      <c r="AY12" s="28"/>
      <c r="AZ12" s="28"/>
      <c r="BA12" s="28"/>
      <c r="BB12" s="100">
        <f t="shared" si="45"/>
        <v>0</v>
      </c>
      <c r="BC12" s="28"/>
      <c r="BD12" s="28"/>
      <c r="BE12" s="28"/>
      <c r="BF12" s="28"/>
      <c r="BG12" s="28"/>
      <c r="BH12" s="28"/>
      <c r="BI12" s="28"/>
      <c r="BJ12" s="28"/>
      <c r="BK12" s="28"/>
      <c r="BL12" s="28"/>
      <c r="BM12" s="28"/>
      <c r="BN12" s="28"/>
      <c r="BO12" s="100">
        <f t="shared" si="82"/>
        <v>0</v>
      </c>
      <c r="BP12" s="28"/>
      <c r="BQ12" s="28"/>
      <c r="BR12" s="28"/>
      <c r="BS12" s="28"/>
      <c r="BT12" s="28"/>
      <c r="BU12" s="28"/>
      <c r="BV12" s="28"/>
      <c r="BW12" s="28"/>
      <c r="BX12" s="28"/>
      <c r="BY12" s="28"/>
      <c r="BZ12" s="28"/>
      <c r="CA12" s="28"/>
      <c r="CB12" s="100">
        <f t="shared" si="83"/>
        <v>0</v>
      </c>
      <c r="CC12" s="28"/>
      <c r="CD12" s="28"/>
      <c r="CE12" s="28"/>
      <c r="CF12" s="28"/>
      <c r="CG12" s="28"/>
      <c r="CH12" s="28"/>
      <c r="CI12" s="28"/>
      <c r="CJ12" s="28"/>
      <c r="CK12" s="28"/>
      <c r="CL12" s="28"/>
      <c r="CM12" s="28"/>
      <c r="CN12" s="28"/>
      <c r="CO12" s="100">
        <f t="shared" si="84"/>
        <v>0</v>
      </c>
    </row>
    <row r="13" spans="1:93" ht="28.8" x14ac:dyDescent="0.3">
      <c r="A13" s="5" t="str">
        <f>'Prix des produits et services '!B13</f>
        <v>Produit ou Service 12</v>
      </c>
      <c r="B13" s="9">
        <f>'Prix des produits et services '!C13</f>
        <v>0</v>
      </c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100">
        <f t="shared" si="41"/>
        <v>0</v>
      </c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100">
        <f t="shared" si="42"/>
        <v>0</v>
      </c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100">
        <f t="shared" si="43"/>
        <v>0</v>
      </c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28"/>
      <c r="BA13" s="28"/>
      <c r="BB13" s="100">
        <f t="shared" si="45"/>
        <v>0</v>
      </c>
      <c r="BC13" s="28"/>
      <c r="BD13" s="28"/>
      <c r="BE13" s="28"/>
      <c r="BF13" s="28"/>
      <c r="BG13" s="28"/>
      <c r="BH13" s="28"/>
      <c r="BI13" s="28"/>
      <c r="BJ13" s="28"/>
      <c r="BK13" s="28"/>
      <c r="BL13" s="28"/>
      <c r="BM13" s="28"/>
      <c r="BN13" s="28"/>
      <c r="BO13" s="100">
        <f t="shared" si="82"/>
        <v>0</v>
      </c>
      <c r="BP13" s="28"/>
      <c r="BQ13" s="28"/>
      <c r="BR13" s="28"/>
      <c r="BS13" s="28"/>
      <c r="BT13" s="28"/>
      <c r="BU13" s="28"/>
      <c r="BV13" s="28"/>
      <c r="BW13" s="28"/>
      <c r="BX13" s="28"/>
      <c r="BY13" s="28"/>
      <c r="BZ13" s="28"/>
      <c r="CA13" s="28"/>
      <c r="CB13" s="100">
        <f t="shared" si="83"/>
        <v>0</v>
      </c>
      <c r="CC13" s="28"/>
      <c r="CD13" s="28"/>
      <c r="CE13" s="28"/>
      <c r="CF13" s="28"/>
      <c r="CG13" s="28"/>
      <c r="CH13" s="28"/>
      <c r="CI13" s="28"/>
      <c r="CJ13" s="28"/>
      <c r="CK13" s="28"/>
      <c r="CL13" s="28"/>
      <c r="CM13" s="28"/>
      <c r="CN13" s="28"/>
      <c r="CO13" s="100">
        <f t="shared" si="84"/>
        <v>0</v>
      </c>
    </row>
    <row r="14" spans="1:93" ht="28.8" x14ac:dyDescent="0.3">
      <c r="A14" s="5" t="str">
        <f>'Prix des produits et services '!B14</f>
        <v>Produit ou Service 13</v>
      </c>
      <c r="B14" s="9">
        <f>'Prix des produits et services '!C14</f>
        <v>0</v>
      </c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100">
        <f t="shared" si="41"/>
        <v>0</v>
      </c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100">
        <f t="shared" si="42"/>
        <v>0</v>
      </c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100">
        <f t="shared" si="43"/>
        <v>0</v>
      </c>
      <c r="AP14" s="28"/>
      <c r="AQ14" s="28"/>
      <c r="AR14" s="28"/>
      <c r="AS14" s="28"/>
      <c r="AT14" s="28"/>
      <c r="AU14" s="28"/>
      <c r="AV14" s="28"/>
      <c r="AW14" s="28"/>
      <c r="AX14" s="28"/>
      <c r="AY14" s="28"/>
      <c r="AZ14" s="28"/>
      <c r="BA14" s="28"/>
      <c r="BB14" s="100">
        <f t="shared" si="45"/>
        <v>0</v>
      </c>
      <c r="BC14" s="28"/>
      <c r="BD14" s="28"/>
      <c r="BE14" s="28"/>
      <c r="BF14" s="28"/>
      <c r="BG14" s="28"/>
      <c r="BH14" s="28"/>
      <c r="BI14" s="28"/>
      <c r="BJ14" s="28"/>
      <c r="BK14" s="28"/>
      <c r="BL14" s="28"/>
      <c r="BM14" s="28"/>
      <c r="BN14" s="28"/>
      <c r="BO14" s="100">
        <f t="shared" si="82"/>
        <v>0</v>
      </c>
      <c r="BP14" s="28"/>
      <c r="BQ14" s="28"/>
      <c r="BR14" s="28"/>
      <c r="BS14" s="28"/>
      <c r="BT14" s="28"/>
      <c r="BU14" s="28"/>
      <c r="BV14" s="28"/>
      <c r="BW14" s="28"/>
      <c r="BX14" s="28"/>
      <c r="BY14" s="28"/>
      <c r="BZ14" s="28"/>
      <c r="CA14" s="28"/>
      <c r="CB14" s="100">
        <f t="shared" si="83"/>
        <v>0</v>
      </c>
      <c r="CC14" s="28"/>
      <c r="CD14" s="28"/>
      <c r="CE14" s="28"/>
      <c r="CF14" s="28"/>
      <c r="CG14" s="28"/>
      <c r="CH14" s="28"/>
      <c r="CI14" s="28"/>
      <c r="CJ14" s="28"/>
      <c r="CK14" s="28"/>
      <c r="CL14" s="28"/>
      <c r="CM14" s="28"/>
      <c r="CN14" s="28"/>
      <c r="CO14" s="100">
        <f t="shared" si="84"/>
        <v>0</v>
      </c>
    </row>
    <row r="15" spans="1:93" ht="28.8" x14ac:dyDescent="0.3">
      <c r="A15" s="5" t="str">
        <f>'Prix des produits et services '!B15</f>
        <v>Produit ou Service 14</v>
      </c>
      <c r="B15" s="9">
        <f>'Prix des produits et services '!C15</f>
        <v>0</v>
      </c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100">
        <f t="shared" si="41"/>
        <v>0</v>
      </c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100">
        <f t="shared" si="42"/>
        <v>0</v>
      </c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100">
        <f t="shared" si="43"/>
        <v>0</v>
      </c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100">
        <f t="shared" si="45"/>
        <v>0</v>
      </c>
      <c r="BC15" s="28"/>
      <c r="BD15" s="28"/>
      <c r="BE15" s="28"/>
      <c r="BF15" s="28"/>
      <c r="BG15" s="28"/>
      <c r="BH15" s="28"/>
      <c r="BI15" s="28"/>
      <c r="BJ15" s="28"/>
      <c r="BK15" s="28"/>
      <c r="BL15" s="28"/>
      <c r="BM15" s="28"/>
      <c r="BN15" s="28"/>
      <c r="BO15" s="100">
        <f t="shared" si="82"/>
        <v>0</v>
      </c>
      <c r="BP15" s="28"/>
      <c r="BQ15" s="28"/>
      <c r="BR15" s="28"/>
      <c r="BS15" s="28"/>
      <c r="BT15" s="28"/>
      <c r="BU15" s="28"/>
      <c r="BV15" s="28"/>
      <c r="BW15" s="28"/>
      <c r="BX15" s="28"/>
      <c r="BY15" s="28"/>
      <c r="BZ15" s="28"/>
      <c r="CA15" s="28"/>
      <c r="CB15" s="100">
        <f t="shared" si="83"/>
        <v>0</v>
      </c>
      <c r="CC15" s="28"/>
      <c r="CD15" s="28"/>
      <c r="CE15" s="28"/>
      <c r="CF15" s="28"/>
      <c r="CG15" s="28"/>
      <c r="CH15" s="28"/>
      <c r="CI15" s="28"/>
      <c r="CJ15" s="28"/>
      <c r="CK15" s="28"/>
      <c r="CL15" s="28"/>
      <c r="CM15" s="28"/>
      <c r="CN15" s="28"/>
      <c r="CO15" s="100">
        <f t="shared" si="84"/>
        <v>0</v>
      </c>
    </row>
    <row r="16" spans="1:93" ht="28.8" x14ac:dyDescent="0.3">
      <c r="A16" s="5" t="str">
        <f>'Prix des produits et services '!B16</f>
        <v>Produit ou Service 15</v>
      </c>
      <c r="B16" s="9">
        <f>'Prix des produits et services '!C16</f>
        <v>0</v>
      </c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100">
        <f t="shared" si="41"/>
        <v>0</v>
      </c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100">
        <f t="shared" si="42"/>
        <v>0</v>
      </c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100">
        <f t="shared" si="43"/>
        <v>0</v>
      </c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100">
        <f t="shared" si="45"/>
        <v>0</v>
      </c>
      <c r="BC16" s="28"/>
      <c r="BD16" s="28"/>
      <c r="BE16" s="28"/>
      <c r="BF16" s="28"/>
      <c r="BG16" s="28"/>
      <c r="BH16" s="28"/>
      <c r="BI16" s="28"/>
      <c r="BJ16" s="28"/>
      <c r="BK16" s="28"/>
      <c r="BL16" s="28"/>
      <c r="BM16" s="28"/>
      <c r="BN16" s="28"/>
      <c r="BO16" s="100">
        <f t="shared" si="82"/>
        <v>0</v>
      </c>
      <c r="BP16" s="28"/>
      <c r="BQ16" s="28"/>
      <c r="BR16" s="28"/>
      <c r="BS16" s="28"/>
      <c r="BT16" s="28"/>
      <c r="BU16" s="28"/>
      <c r="BV16" s="28"/>
      <c r="BW16" s="28"/>
      <c r="BX16" s="28"/>
      <c r="BY16" s="28"/>
      <c r="BZ16" s="28"/>
      <c r="CA16" s="28"/>
      <c r="CB16" s="100">
        <f t="shared" si="83"/>
        <v>0</v>
      </c>
      <c r="CC16" s="28"/>
      <c r="CD16" s="28"/>
      <c r="CE16" s="28"/>
      <c r="CF16" s="28"/>
      <c r="CG16" s="28"/>
      <c r="CH16" s="28"/>
      <c r="CI16" s="28"/>
      <c r="CJ16" s="28"/>
      <c r="CK16" s="28"/>
      <c r="CL16" s="28"/>
      <c r="CM16" s="28"/>
      <c r="CN16" s="28"/>
      <c r="CO16" s="100">
        <f t="shared" si="84"/>
        <v>0</v>
      </c>
    </row>
    <row r="17" spans="1:93" ht="28.8" x14ac:dyDescent="0.3">
      <c r="A17" s="5" t="str">
        <f>'Prix des produits et services '!B17</f>
        <v>Produit ou Service 16</v>
      </c>
      <c r="B17" s="9">
        <f>'Prix des produits et services '!C17</f>
        <v>0</v>
      </c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100">
        <f t="shared" si="41"/>
        <v>0</v>
      </c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100">
        <f t="shared" si="42"/>
        <v>0</v>
      </c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100">
        <f t="shared" si="43"/>
        <v>0</v>
      </c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100">
        <f t="shared" si="45"/>
        <v>0</v>
      </c>
      <c r="BC17" s="28"/>
      <c r="BD17" s="28"/>
      <c r="BE17" s="28"/>
      <c r="BF17" s="28"/>
      <c r="BG17" s="28"/>
      <c r="BH17" s="28"/>
      <c r="BI17" s="28"/>
      <c r="BJ17" s="28"/>
      <c r="BK17" s="28"/>
      <c r="BL17" s="28"/>
      <c r="BM17" s="28"/>
      <c r="BN17" s="28"/>
      <c r="BO17" s="100">
        <f t="shared" si="82"/>
        <v>0</v>
      </c>
      <c r="BP17" s="28"/>
      <c r="BQ17" s="28"/>
      <c r="BR17" s="28"/>
      <c r="BS17" s="28"/>
      <c r="BT17" s="28"/>
      <c r="BU17" s="28"/>
      <c r="BV17" s="28"/>
      <c r="BW17" s="28"/>
      <c r="BX17" s="28"/>
      <c r="BY17" s="28"/>
      <c r="BZ17" s="28"/>
      <c r="CA17" s="28"/>
      <c r="CB17" s="100">
        <f t="shared" si="83"/>
        <v>0</v>
      </c>
      <c r="CC17" s="28"/>
      <c r="CD17" s="28"/>
      <c r="CE17" s="28"/>
      <c r="CF17" s="28"/>
      <c r="CG17" s="28"/>
      <c r="CH17" s="28"/>
      <c r="CI17" s="28"/>
      <c r="CJ17" s="28"/>
      <c r="CK17" s="28"/>
      <c r="CL17" s="28"/>
      <c r="CM17" s="28"/>
      <c r="CN17" s="28"/>
      <c r="CO17" s="100">
        <f t="shared" si="84"/>
        <v>0</v>
      </c>
    </row>
    <row r="18" spans="1:93" ht="28.8" x14ac:dyDescent="0.3">
      <c r="A18" s="5" t="str">
        <f>'Prix des produits et services '!B18</f>
        <v>Produit ou Service 17</v>
      </c>
      <c r="B18" s="9">
        <f>'Prix des produits et services '!C18</f>
        <v>0</v>
      </c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100">
        <f t="shared" si="41"/>
        <v>0</v>
      </c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100">
        <f t="shared" si="42"/>
        <v>0</v>
      </c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100">
        <f t="shared" si="43"/>
        <v>0</v>
      </c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100">
        <f t="shared" si="45"/>
        <v>0</v>
      </c>
      <c r="BC18" s="28"/>
      <c r="BD18" s="28"/>
      <c r="BE18" s="28"/>
      <c r="BF18" s="28"/>
      <c r="BG18" s="28"/>
      <c r="BH18" s="28"/>
      <c r="BI18" s="28"/>
      <c r="BJ18" s="28"/>
      <c r="BK18" s="28"/>
      <c r="BL18" s="28"/>
      <c r="BM18" s="28"/>
      <c r="BN18" s="28"/>
      <c r="BO18" s="100">
        <f t="shared" si="82"/>
        <v>0</v>
      </c>
      <c r="BP18" s="28"/>
      <c r="BQ18" s="28"/>
      <c r="BR18" s="28"/>
      <c r="BS18" s="28"/>
      <c r="BT18" s="28"/>
      <c r="BU18" s="28"/>
      <c r="BV18" s="28"/>
      <c r="BW18" s="28"/>
      <c r="BX18" s="28"/>
      <c r="BY18" s="28"/>
      <c r="BZ18" s="28"/>
      <c r="CA18" s="28"/>
      <c r="CB18" s="100">
        <f t="shared" si="83"/>
        <v>0</v>
      </c>
      <c r="CC18" s="28"/>
      <c r="CD18" s="28"/>
      <c r="CE18" s="28"/>
      <c r="CF18" s="28"/>
      <c r="CG18" s="28"/>
      <c r="CH18" s="28"/>
      <c r="CI18" s="28"/>
      <c r="CJ18" s="28"/>
      <c r="CK18" s="28"/>
      <c r="CL18" s="28"/>
      <c r="CM18" s="28"/>
      <c r="CN18" s="28"/>
      <c r="CO18" s="100">
        <f t="shared" si="84"/>
        <v>0</v>
      </c>
    </row>
    <row r="19" spans="1:93" ht="28.8" x14ac:dyDescent="0.3">
      <c r="A19" s="5" t="str">
        <f>'Prix des produits et services '!B19</f>
        <v>Produit ou Service 18</v>
      </c>
      <c r="B19" s="9">
        <f>'Prix des produits et services '!C19</f>
        <v>0</v>
      </c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100">
        <f t="shared" si="41"/>
        <v>0</v>
      </c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100">
        <f t="shared" si="42"/>
        <v>0</v>
      </c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100">
        <f t="shared" si="43"/>
        <v>0</v>
      </c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100">
        <f t="shared" si="45"/>
        <v>0</v>
      </c>
      <c r="BC19" s="28"/>
      <c r="BD19" s="28"/>
      <c r="BE19" s="28"/>
      <c r="BF19" s="28"/>
      <c r="BG19" s="28"/>
      <c r="BH19" s="28"/>
      <c r="BI19" s="28"/>
      <c r="BJ19" s="28"/>
      <c r="BK19" s="28"/>
      <c r="BL19" s="28"/>
      <c r="BM19" s="28"/>
      <c r="BN19" s="28"/>
      <c r="BO19" s="100">
        <f t="shared" si="82"/>
        <v>0</v>
      </c>
      <c r="BP19" s="28"/>
      <c r="BQ19" s="28"/>
      <c r="BR19" s="28"/>
      <c r="BS19" s="28"/>
      <c r="BT19" s="28"/>
      <c r="BU19" s="28"/>
      <c r="BV19" s="28"/>
      <c r="BW19" s="28"/>
      <c r="BX19" s="28"/>
      <c r="BY19" s="28"/>
      <c r="BZ19" s="28"/>
      <c r="CA19" s="28"/>
      <c r="CB19" s="100">
        <f t="shared" si="83"/>
        <v>0</v>
      </c>
      <c r="CC19" s="28"/>
      <c r="CD19" s="28"/>
      <c r="CE19" s="28"/>
      <c r="CF19" s="28"/>
      <c r="CG19" s="28"/>
      <c r="CH19" s="28"/>
      <c r="CI19" s="28"/>
      <c r="CJ19" s="28"/>
      <c r="CK19" s="28"/>
      <c r="CL19" s="28"/>
      <c r="CM19" s="28"/>
      <c r="CN19" s="28"/>
      <c r="CO19" s="100">
        <f t="shared" si="84"/>
        <v>0</v>
      </c>
    </row>
    <row r="20" spans="1:93" ht="28.8" x14ac:dyDescent="0.3">
      <c r="A20" s="5" t="str">
        <f>'Prix des produits et services '!B20</f>
        <v>Produit ou Service 19</v>
      </c>
      <c r="B20" s="9">
        <f>'Prix des produits et services '!C20</f>
        <v>0</v>
      </c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100">
        <f t="shared" si="41"/>
        <v>0</v>
      </c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100">
        <f t="shared" si="42"/>
        <v>0</v>
      </c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100">
        <f t="shared" si="43"/>
        <v>0</v>
      </c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28"/>
      <c r="BA20" s="28"/>
      <c r="BB20" s="100">
        <f t="shared" si="45"/>
        <v>0</v>
      </c>
      <c r="BC20" s="28"/>
      <c r="BD20" s="28"/>
      <c r="BE20" s="28"/>
      <c r="BF20" s="28"/>
      <c r="BG20" s="28"/>
      <c r="BH20" s="28"/>
      <c r="BI20" s="28"/>
      <c r="BJ20" s="28"/>
      <c r="BK20" s="28"/>
      <c r="BL20" s="28"/>
      <c r="BM20" s="28"/>
      <c r="BN20" s="28"/>
      <c r="BO20" s="100">
        <f t="shared" si="82"/>
        <v>0</v>
      </c>
      <c r="BP20" s="28"/>
      <c r="BQ20" s="28"/>
      <c r="BR20" s="28"/>
      <c r="BS20" s="28"/>
      <c r="BT20" s="28"/>
      <c r="BU20" s="28"/>
      <c r="BV20" s="28"/>
      <c r="BW20" s="28"/>
      <c r="BX20" s="28"/>
      <c r="BY20" s="28"/>
      <c r="BZ20" s="28"/>
      <c r="CA20" s="28"/>
      <c r="CB20" s="100">
        <f t="shared" si="83"/>
        <v>0</v>
      </c>
      <c r="CC20" s="28"/>
      <c r="CD20" s="28"/>
      <c r="CE20" s="28"/>
      <c r="CF20" s="28"/>
      <c r="CG20" s="28"/>
      <c r="CH20" s="28"/>
      <c r="CI20" s="28"/>
      <c r="CJ20" s="28"/>
      <c r="CK20" s="28"/>
      <c r="CL20" s="28"/>
      <c r="CM20" s="28"/>
      <c r="CN20" s="28"/>
      <c r="CO20" s="100">
        <f t="shared" si="84"/>
        <v>0</v>
      </c>
    </row>
    <row r="21" spans="1:93" ht="28.8" x14ac:dyDescent="0.3">
      <c r="A21" s="5" t="str">
        <f>'Prix des produits et services '!B21</f>
        <v>Produit ou Service 20</v>
      </c>
      <c r="B21" s="9">
        <f>'Prix des produits et services '!C21</f>
        <v>0</v>
      </c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100">
        <f t="shared" si="41"/>
        <v>0</v>
      </c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100">
        <f t="shared" si="42"/>
        <v>0</v>
      </c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100">
        <f t="shared" si="43"/>
        <v>0</v>
      </c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28"/>
      <c r="BA21" s="28"/>
      <c r="BB21" s="100">
        <f t="shared" si="45"/>
        <v>0</v>
      </c>
      <c r="BC21" s="28"/>
      <c r="BD21" s="28"/>
      <c r="BE21" s="28"/>
      <c r="BF21" s="28"/>
      <c r="BG21" s="28"/>
      <c r="BH21" s="28"/>
      <c r="BI21" s="28"/>
      <c r="BJ21" s="28"/>
      <c r="BK21" s="28"/>
      <c r="BL21" s="28"/>
      <c r="BM21" s="28"/>
      <c r="BN21" s="28"/>
      <c r="BO21" s="100">
        <f t="shared" si="82"/>
        <v>0</v>
      </c>
      <c r="BP21" s="28"/>
      <c r="BQ21" s="28"/>
      <c r="BR21" s="28"/>
      <c r="BS21" s="28"/>
      <c r="BT21" s="28"/>
      <c r="BU21" s="28"/>
      <c r="BV21" s="28"/>
      <c r="BW21" s="28"/>
      <c r="BX21" s="28"/>
      <c r="BY21" s="28"/>
      <c r="BZ21" s="28"/>
      <c r="CA21" s="28"/>
      <c r="CB21" s="100">
        <f t="shared" si="83"/>
        <v>0</v>
      </c>
      <c r="CC21" s="28"/>
      <c r="CD21" s="28"/>
      <c r="CE21" s="28"/>
      <c r="CF21" s="28"/>
      <c r="CG21" s="28"/>
      <c r="CH21" s="28"/>
      <c r="CI21" s="28"/>
      <c r="CJ21" s="28"/>
      <c r="CK21" s="28"/>
      <c r="CL21" s="28"/>
      <c r="CM21" s="28"/>
      <c r="CN21" s="28"/>
      <c r="CO21" s="100">
        <f>SUM(CC21:CN21)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BO25"/>
  <sheetViews>
    <sheetView workbookViewId="0">
      <pane xSplit="5" ySplit="12" topLeftCell="AG15" activePane="bottomRight" state="frozen"/>
      <selection pane="topRight" activeCell="F1" sqref="F1"/>
      <selection pane="bottomLeft" activeCell="A13" sqref="A13"/>
      <selection pane="bottomRight" activeCell="O2" sqref="O2"/>
    </sheetView>
  </sheetViews>
  <sheetFormatPr baseColWidth="10" defaultRowHeight="14.4" x14ac:dyDescent="0.3"/>
  <cols>
    <col min="1" max="1" width="20.44140625" style="4" customWidth="1"/>
    <col min="2" max="2" width="20.44140625" customWidth="1"/>
    <col min="5" max="5" width="17" customWidth="1"/>
    <col min="8" max="8" width="15.109375" customWidth="1"/>
    <col min="11" max="11" width="13.88671875" customWidth="1"/>
    <col min="14" max="14" width="13.109375" customWidth="1"/>
    <col min="15" max="15" width="13.88671875" customWidth="1"/>
    <col min="28" max="28" width="13.33203125" customWidth="1"/>
    <col min="41" max="41" width="14.33203125" customWidth="1"/>
    <col min="54" max="54" width="13.44140625" customWidth="1"/>
    <col min="67" max="67" width="13.44140625" customWidth="1"/>
  </cols>
  <sheetData>
    <row r="1" spans="1:67" s="4" customFormat="1" ht="28.8" x14ac:dyDescent="0.3">
      <c r="A1" s="2"/>
      <c r="B1" s="5" t="s">
        <v>91</v>
      </c>
      <c r="C1" s="6" t="s">
        <v>0</v>
      </c>
      <c r="D1" s="6" t="s">
        <v>1</v>
      </c>
      <c r="E1" s="6" t="s">
        <v>2</v>
      </c>
      <c r="F1" s="6" t="s">
        <v>3</v>
      </c>
      <c r="G1" s="6" t="s">
        <v>4</v>
      </c>
      <c r="H1" s="6" t="s">
        <v>5</v>
      </c>
      <c r="I1" s="6" t="s">
        <v>6</v>
      </c>
      <c r="J1" s="6" t="s">
        <v>7</v>
      </c>
      <c r="K1" s="6" t="s">
        <v>8</v>
      </c>
      <c r="L1" s="6" t="s">
        <v>9</v>
      </c>
      <c r="M1" s="6" t="s">
        <v>10</v>
      </c>
      <c r="N1" s="6" t="s">
        <v>11</v>
      </c>
      <c r="O1" s="7" t="s">
        <v>12</v>
      </c>
      <c r="P1" s="6" t="s">
        <v>13</v>
      </c>
      <c r="Q1" s="6" t="s">
        <v>14</v>
      </c>
      <c r="R1" s="6" t="s">
        <v>15</v>
      </c>
      <c r="S1" s="6" t="s">
        <v>16</v>
      </c>
      <c r="T1" s="6" t="s">
        <v>17</v>
      </c>
      <c r="U1" s="6" t="s">
        <v>18</v>
      </c>
      <c r="V1" s="6" t="s">
        <v>19</v>
      </c>
      <c r="W1" s="6" t="s">
        <v>20</v>
      </c>
      <c r="X1" s="6" t="s">
        <v>21</v>
      </c>
      <c r="Y1" s="6" t="s">
        <v>22</v>
      </c>
      <c r="Z1" s="6" t="s">
        <v>23</v>
      </c>
      <c r="AA1" s="6" t="s">
        <v>24</v>
      </c>
      <c r="AB1" s="7" t="s">
        <v>25</v>
      </c>
      <c r="AC1" s="6" t="s">
        <v>26</v>
      </c>
      <c r="AD1" s="6" t="s">
        <v>27</v>
      </c>
      <c r="AE1" s="6" t="s">
        <v>28</v>
      </c>
      <c r="AF1" s="6" t="s">
        <v>29</v>
      </c>
      <c r="AG1" s="6" t="s">
        <v>30</v>
      </c>
      <c r="AH1" s="6" t="s">
        <v>31</v>
      </c>
      <c r="AI1" s="6" t="s">
        <v>32</v>
      </c>
      <c r="AJ1" s="6" t="s">
        <v>33</v>
      </c>
      <c r="AK1" s="6" t="s">
        <v>34</v>
      </c>
      <c r="AL1" s="6" t="s">
        <v>35</v>
      </c>
      <c r="AM1" s="6" t="s">
        <v>36</v>
      </c>
      <c r="AN1" s="6" t="s">
        <v>37</v>
      </c>
      <c r="AO1" s="7" t="s">
        <v>38</v>
      </c>
      <c r="AP1" s="6" t="s">
        <v>39</v>
      </c>
      <c r="AQ1" s="6" t="s">
        <v>40</v>
      </c>
      <c r="AR1" s="6" t="s">
        <v>41</v>
      </c>
      <c r="AS1" s="6" t="s">
        <v>42</v>
      </c>
      <c r="AT1" s="6" t="s">
        <v>43</v>
      </c>
      <c r="AU1" s="6" t="s">
        <v>44</v>
      </c>
      <c r="AV1" s="6" t="s">
        <v>45</v>
      </c>
      <c r="AW1" s="6" t="s">
        <v>46</v>
      </c>
      <c r="AX1" s="6" t="s">
        <v>47</v>
      </c>
      <c r="AY1" s="6" t="s">
        <v>48</v>
      </c>
      <c r="AZ1" s="6" t="s">
        <v>49</v>
      </c>
      <c r="BA1" s="6" t="s">
        <v>50</v>
      </c>
      <c r="BB1" s="7" t="s">
        <v>51</v>
      </c>
      <c r="BC1" s="6" t="s">
        <v>52</v>
      </c>
      <c r="BD1" s="6" t="s">
        <v>53</v>
      </c>
      <c r="BE1" s="6" t="s">
        <v>54</v>
      </c>
      <c r="BF1" s="6" t="s">
        <v>55</v>
      </c>
      <c r="BG1" s="6" t="s">
        <v>56</v>
      </c>
      <c r="BH1" s="6" t="s">
        <v>57</v>
      </c>
      <c r="BI1" s="6" t="s">
        <v>58</v>
      </c>
      <c r="BJ1" s="6" t="s">
        <v>59</v>
      </c>
      <c r="BK1" s="6" t="s">
        <v>60</v>
      </c>
      <c r="BL1" s="6" t="s">
        <v>61</v>
      </c>
      <c r="BM1" s="6" t="s">
        <v>62</v>
      </c>
      <c r="BN1" s="6" t="s">
        <v>63</v>
      </c>
      <c r="BO1" s="7" t="s">
        <v>64</v>
      </c>
    </row>
    <row r="2" spans="1:67" x14ac:dyDescent="0.3">
      <c r="A2" s="5" t="str">
        <f>'Prix des produits et services '!B2</f>
        <v>Produit ou Service 1</v>
      </c>
      <c r="B2" s="1" t="str">
        <f>'Prix des produits et services '!C2</f>
        <v xml:space="preserve">Habits </v>
      </c>
      <c r="C2" s="18">
        <f>'Prix des produits et services '!$D$2*'Objectifs de ventes (quantité)'!C2</f>
        <v>175000</v>
      </c>
      <c r="D2" s="18">
        <f>'Prix des produits et services '!$D$2*'Objectifs de ventes (quantité)'!D2</f>
        <v>350000</v>
      </c>
      <c r="E2" s="18">
        <f>'Prix des produits et services '!$D$2*'Objectifs de ventes (quantité)'!E2</f>
        <v>525000</v>
      </c>
      <c r="F2" s="18">
        <f>'Prix des produits et services '!$D$2*'Objectifs de ventes (quantité)'!F2</f>
        <v>700000</v>
      </c>
      <c r="G2" s="18">
        <f>'Prix des produits et services '!$D$2*'Objectifs de ventes (quantité)'!G2</f>
        <v>875000</v>
      </c>
      <c r="H2" s="18">
        <f>'Prix des produits et services '!$D$2*'Objectifs de ventes (quantité)'!H2</f>
        <v>1050000</v>
      </c>
      <c r="I2" s="18">
        <f>'Prix des produits et services '!$D$2*'Objectifs de ventes (quantité)'!I2</f>
        <v>1400000</v>
      </c>
      <c r="J2" s="18">
        <f>'Prix des produits et services '!$D$2*'Objectifs de ventes (quantité)'!J2</f>
        <v>1575000</v>
      </c>
      <c r="K2" s="18">
        <f>'Prix des produits et services '!$D$2*'Objectifs de ventes (quantité)'!K2</f>
        <v>1575000</v>
      </c>
      <c r="L2" s="18">
        <f>'Prix des produits et services '!$D$2*'Objectifs de ventes (quantité)'!L2</f>
        <v>1575000</v>
      </c>
      <c r="M2" s="18">
        <f>'Prix des produits et services '!$D$2*'Objectifs de ventes (quantité)'!M2</f>
        <v>1575000</v>
      </c>
      <c r="N2" s="18">
        <f>'Prix des produits et services '!$D$2*'Objectifs de ventes (quantité)'!N2</f>
        <v>1575000</v>
      </c>
      <c r="O2" s="99">
        <f>SUM(C2:N2)</f>
        <v>12950000</v>
      </c>
      <c r="P2" s="18">
        <f>'Prix des produits et services '!$E$2*'Objectifs de ventes (quantité)'!P2</f>
        <v>1750000</v>
      </c>
      <c r="Q2" s="18">
        <f>'Prix des produits et services '!$E$2*'Objectifs de ventes (quantité)'!Q2</f>
        <v>1925000</v>
      </c>
      <c r="R2" s="18">
        <f>'Prix des produits et services '!$E$2*'Objectifs de ventes (quantité)'!R2</f>
        <v>2100000</v>
      </c>
      <c r="S2" s="18">
        <f>'Prix des produits et services '!$E$2*'Objectifs de ventes (quantité)'!S2</f>
        <v>2275000</v>
      </c>
      <c r="T2" s="18">
        <f>'Prix des produits et services '!$E$2*'Objectifs de ventes (quantité)'!T2</f>
        <v>2450000</v>
      </c>
      <c r="U2" s="18">
        <f>'Prix des produits et services '!$E$2*'Objectifs de ventes (quantité)'!U2</f>
        <v>2625000</v>
      </c>
      <c r="V2" s="18">
        <f>'Prix des produits et services '!$E$2*'Objectifs de ventes (quantité)'!V2</f>
        <v>2800000</v>
      </c>
      <c r="W2" s="18">
        <f>'Prix des produits et services '!$E$2*'Objectifs de ventes (quantité)'!W2</f>
        <v>2975000</v>
      </c>
      <c r="X2" s="18">
        <f>'Prix des produits et services '!$E$2*'Objectifs de ventes (quantité)'!X2</f>
        <v>3150000</v>
      </c>
      <c r="Y2" s="18">
        <f>'Prix des produits et services '!$E$2*'Objectifs de ventes (quantité)'!Y2</f>
        <v>3325000</v>
      </c>
      <c r="Z2" s="18">
        <f>'Prix des produits et services '!$E$2*'Objectifs de ventes (quantité)'!Z2</f>
        <v>3500000</v>
      </c>
      <c r="AA2" s="18">
        <f>'Prix des produits et services '!$E$2*'Objectifs de ventes (quantité)'!AA2</f>
        <v>3850000</v>
      </c>
      <c r="AB2" s="99">
        <f>SUM(P2:AA2)</f>
        <v>32725000</v>
      </c>
      <c r="AC2" s="18">
        <f>'Prix des produits et services '!F2*'Objectifs de ventes (quantité)'!AC2</f>
        <v>5200000</v>
      </c>
      <c r="AD2" s="18">
        <f>'Prix des produits et services '!$F$2*'Objectifs de ventes (quantité)'!AD2</f>
        <v>5252000</v>
      </c>
      <c r="AE2" s="18">
        <f>'Prix des produits et services '!$F$2*'Objectifs de ventes (quantité)'!AE2</f>
        <v>5304520</v>
      </c>
      <c r="AF2" s="18">
        <f>'Prix des produits et services '!$F$2*'Objectifs de ventes (quantité)'!AF2</f>
        <v>5357565.2</v>
      </c>
      <c r="AG2" s="18">
        <f>'Prix des produits et services '!$F$2*'Objectifs de ventes (quantité)'!AG2</f>
        <v>5411140.852</v>
      </c>
      <c r="AH2" s="18">
        <f>'Prix des produits et services '!$F$2*'Objectifs de ventes (quantité)'!AH2</f>
        <v>5465252.26052</v>
      </c>
      <c r="AI2" s="18">
        <f>'Prix des produits et services '!$F$2*'Objectifs de ventes (quantité)'!AI2</f>
        <v>5519904.7831252003</v>
      </c>
      <c r="AJ2" s="18">
        <f>'Prix des produits et services '!$F$2*'Objectifs de ventes (quantité)'!AJ2</f>
        <v>5575103.8309564525</v>
      </c>
      <c r="AK2" s="18">
        <f>'Prix des produits et services '!$F$2*'Objectifs de ventes (quantité)'!AK2</f>
        <v>5630854.8692660164</v>
      </c>
      <c r="AL2" s="18">
        <f>'Prix des produits et services '!$F$2*'Objectifs de ventes (quantité)'!AL2</f>
        <v>5687163.4179586768</v>
      </c>
      <c r="AM2" s="18">
        <f>'Prix des produits et services '!$F$2*'Objectifs de ventes (quantité)'!AM2</f>
        <v>5744035.0521382643</v>
      </c>
      <c r="AN2" s="18">
        <f>'Prix des produits et services '!$F$2*'Objectifs de ventes (quantité)'!AN2</f>
        <v>5801475.4026596472</v>
      </c>
      <c r="AO2" s="99">
        <f>SUM(AC2:AN2)</f>
        <v>65949015.66862426</v>
      </c>
      <c r="AP2" s="18">
        <f>'Prix des produits et services '!$G$2*'Objectifs de ventes (quantité)'!AP2</f>
        <v>0</v>
      </c>
      <c r="AQ2" s="18">
        <f>'Prix des produits et services '!$G$2*'Objectifs de ventes (quantité)'!AQ2</f>
        <v>0</v>
      </c>
      <c r="AR2" s="18">
        <f>'Prix des produits et services '!$G$2*'Objectifs de ventes (quantité)'!AR2</f>
        <v>0</v>
      </c>
      <c r="AS2" s="18">
        <f>'Prix des produits et services '!$G$2*'Objectifs de ventes (quantité)'!AS2</f>
        <v>0</v>
      </c>
      <c r="AT2" s="18">
        <f>'Prix des produits et services '!$G$2*'Objectifs de ventes (quantité)'!AT2</f>
        <v>0</v>
      </c>
      <c r="AU2" s="18">
        <f>'Prix des produits et services '!$G$2*'Objectifs de ventes (quantité)'!AU2</f>
        <v>0</v>
      </c>
      <c r="AV2" s="18">
        <f>'Prix des produits et services '!$G$2*'Objectifs de ventes (quantité)'!AV2</f>
        <v>0</v>
      </c>
      <c r="AW2" s="18">
        <f>'Prix des produits et services '!$G$2*'Objectifs de ventes (quantité)'!AW2</f>
        <v>0</v>
      </c>
      <c r="AX2" s="18">
        <f>'Prix des produits et services '!$G$2*'Objectifs de ventes (quantité)'!AX2</f>
        <v>0</v>
      </c>
      <c r="AY2" s="18">
        <f>'Prix des produits et services '!$G$2*'Objectifs de ventes (quantité)'!AY2</f>
        <v>0</v>
      </c>
      <c r="AZ2" s="18">
        <f>'Prix des produits et services '!$G$2*'Objectifs de ventes (quantité)'!AZ2</f>
        <v>0</v>
      </c>
      <c r="BA2" s="18">
        <f>'Prix des produits et services '!$G$2*'Objectifs de ventes (quantité)'!BA2</f>
        <v>0</v>
      </c>
      <c r="BB2" s="99">
        <f>SUM(AP2:BA2)</f>
        <v>0</v>
      </c>
      <c r="BC2" s="18">
        <f>'Prix des produits et services '!$H$2*'Objectifs de ventes (quantité)'!BC2</f>
        <v>0</v>
      </c>
      <c r="BD2" s="18">
        <f>'Prix des produits et services '!$H$2*'Objectifs de ventes (quantité)'!BD2</f>
        <v>0</v>
      </c>
      <c r="BE2" s="18">
        <f>'Prix des produits et services '!$H$2*'Objectifs de ventes (quantité)'!BE2</f>
        <v>0</v>
      </c>
      <c r="BF2" s="18">
        <f>'Prix des produits et services '!$H$2*'Objectifs de ventes (quantité)'!BF2</f>
        <v>0</v>
      </c>
      <c r="BG2" s="18">
        <f>'Prix des produits et services '!$H$2*'Objectifs de ventes (quantité)'!BG2</f>
        <v>0</v>
      </c>
      <c r="BH2" s="18">
        <f>'Prix des produits et services '!$H$2*'Objectifs de ventes (quantité)'!BH2</f>
        <v>0</v>
      </c>
      <c r="BI2" s="18">
        <f>'Prix des produits et services '!$H$2*'Objectifs de ventes (quantité)'!BI2</f>
        <v>0</v>
      </c>
      <c r="BJ2" s="18">
        <f>'Prix des produits et services '!$H$2*'Objectifs de ventes (quantité)'!BJ2</f>
        <v>0</v>
      </c>
      <c r="BK2" s="18">
        <f>'Prix des produits et services '!$H$2*'Objectifs de ventes (quantité)'!BK2</f>
        <v>0</v>
      </c>
      <c r="BL2" s="18">
        <f>'Prix des produits et services '!$H$2*'Objectifs de ventes (quantité)'!BL2</f>
        <v>0</v>
      </c>
      <c r="BM2" s="18">
        <f>'Prix des produits et services '!$H$2*'Objectifs de ventes (quantité)'!BM2</f>
        <v>0</v>
      </c>
      <c r="BN2" s="18">
        <f>'Prix des produits et services '!$H$2*'Objectifs de ventes (quantité)'!BN2</f>
        <v>0</v>
      </c>
      <c r="BO2" s="99">
        <f>SUM(BC2:BN2)</f>
        <v>0</v>
      </c>
    </row>
    <row r="3" spans="1:67" x14ac:dyDescent="0.3">
      <c r="A3" s="5" t="str">
        <f>'Prix des produits et services '!B3</f>
        <v>Produit ou Service 2</v>
      </c>
      <c r="B3" s="1">
        <f>'Prix des produits et services '!C3</f>
        <v>0</v>
      </c>
      <c r="C3" s="18">
        <f>'Prix des produits et services '!$D$3*'Objectifs de ventes (quantité)'!C3</f>
        <v>0</v>
      </c>
      <c r="D3" s="18">
        <f>'Prix des produits et services '!$D$3*'Objectifs de ventes (quantité)'!D3</f>
        <v>0</v>
      </c>
      <c r="E3" s="18">
        <f>'Prix des produits et services '!$D$3*'Objectifs de ventes (quantité)'!E3</f>
        <v>0</v>
      </c>
      <c r="F3" s="18">
        <f>'Prix des produits et services '!$D$3*'Objectifs de ventes (quantité)'!F3</f>
        <v>0</v>
      </c>
      <c r="G3" s="18">
        <f>'Prix des produits et services '!$D$3*'Objectifs de ventes (quantité)'!G3</f>
        <v>0</v>
      </c>
      <c r="H3" s="18">
        <f>'Prix des produits et services '!$D$3*'Objectifs de ventes (quantité)'!H3</f>
        <v>0</v>
      </c>
      <c r="I3" s="18">
        <f>'Prix des produits et services '!$D$3*'Objectifs de ventes (quantité)'!I3</f>
        <v>0</v>
      </c>
      <c r="J3" s="18">
        <f>'Prix des produits et services '!$D$3*'Objectifs de ventes (quantité)'!J3</f>
        <v>0</v>
      </c>
      <c r="K3" s="18">
        <f>'Prix des produits et services '!$D$3*'Objectifs de ventes (quantité)'!K3</f>
        <v>0</v>
      </c>
      <c r="L3" s="18">
        <f>'Prix des produits et services '!$D$3*'Objectifs de ventes (quantité)'!L3</f>
        <v>0</v>
      </c>
      <c r="M3" s="18">
        <f>'Prix des produits et services '!$D$3*'Objectifs de ventes (quantité)'!M3</f>
        <v>0</v>
      </c>
      <c r="N3" s="18">
        <f>'Prix des produits et services '!$D$3*'Objectifs de ventes (quantité)'!N3</f>
        <v>0</v>
      </c>
      <c r="O3" s="99">
        <f t="shared" ref="O3:O21" si="0">SUM(C3:N3)</f>
        <v>0</v>
      </c>
      <c r="P3" s="18">
        <f>'Prix des produits et services '!$E$3*'Objectifs de ventes (quantité)'!P3</f>
        <v>0</v>
      </c>
      <c r="Q3" s="18">
        <f>'Prix des produits et services '!$E$3*'Objectifs de ventes (quantité)'!Q3</f>
        <v>0</v>
      </c>
      <c r="R3" s="18">
        <f>'Prix des produits et services '!$E$3*'Objectifs de ventes (quantité)'!R3</f>
        <v>0</v>
      </c>
      <c r="S3" s="18">
        <f>'Prix des produits et services '!$E$3*'Objectifs de ventes (quantité)'!S3</f>
        <v>0</v>
      </c>
      <c r="T3" s="18">
        <f>'Prix des produits et services '!$E$3*'Objectifs de ventes (quantité)'!T3</f>
        <v>0</v>
      </c>
      <c r="U3" s="18">
        <f>'Prix des produits et services '!$E$3*'Objectifs de ventes (quantité)'!U3</f>
        <v>0</v>
      </c>
      <c r="V3" s="18">
        <f>'Prix des produits et services '!$E$3*'Objectifs de ventes (quantité)'!V3</f>
        <v>0</v>
      </c>
      <c r="W3" s="18">
        <f>'Prix des produits et services '!$E$3*'Objectifs de ventes (quantité)'!W3</f>
        <v>0</v>
      </c>
      <c r="X3" s="18">
        <f>'Prix des produits et services '!$E$3*'Objectifs de ventes (quantité)'!X3</f>
        <v>0</v>
      </c>
      <c r="Y3" s="18">
        <f>'Prix des produits et services '!$E$3*'Objectifs de ventes (quantité)'!Y3</f>
        <v>0</v>
      </c>
      <c r="Z3" s="18">
        <f>'Prix des produits et services '!$E$3*'Objectifs de ventes (quantité)'!Z3</f>
        <v>0</v>
      </c>
      <c r="AA3" s="18">
        <f>'Prix des produits et services '!$E$3*'Objectifs de ventes (quantité)'!AA3</f>
        <v>0</v>
      </c>
      <c r="AB3" s="99">
        <f t="shared" ref="AB3:AB20" si="1">SUM(P3:AA3)</f>
        <v>0</v>
      </c>
      <c r="AC3" s="18">
        <f>'Prix des produits et services '!$F$3*'Objectifs de ventes (quantité)'!AC3</f>
        <v>0</v>
      </c>
      <c r="AD3" s="18">
        <f>'Prix des produits et services '!$F$3*'Objectifs de ventes (quantité)'!AD3</f>
        <v>0</v>
      </c>
      <c r="AE3" s="18">
        <f>'Prix des produits et services '!$F$3*'Objectifs de ventes (quantité)'!AE3</f>
        <v>0</v>
      </c>
      <c r="AF3" s="18">
        <f>'Prix des produits et services '!$F$3*'Objectifs de ventes (quantité)'!AF3</f>
        <v>0</v>
      </c>
      <c r="AG3" s="18">
        <f>'Prix des produits et services '!$F$3*'Objectifs de ventes (quantité)'!AG3</f>
        <v>0</v>
      </c>
      <c r="AH3" s="18">
        <f>'Prix des produits et services '!$F$3*'Objectifs de ventes (quantité)'!AH3</f>
        <v>0</v>
      </c>
      <c r="AI3" s="18">
        <f>'Prix des produits et services '!$F$3*'Objectifs de ventes (quantité)'!AI3</f>
        <v>0</v>
      </c>
      <c r="AJ3" s="18">
        <f>'Prix des produits et services '!$F$3*'Objectifs de ventes (quantité)'!AJ3</f>
        <v>0</v>
      </c>
      <c r="AK3" s="18">
        <f>'Prix des produits et services '!$F$3*'Objectifs de ventes (quantité)'!AK3</f>
        <v>0</v>
      </c>
      <c r="AL3" s="18">
        <f>'Prix des produits et services '!$F$3*'Objectifs de ventes (quantité)'!AL3</f>
        <v>0</v>
      </c>
      <c r="AM3" s="18">
        <f>'Prix des produits et services '!$F$3*'Objectifs de ventes (quantité)'!AM3</f>
        <v>0</v>
      </c>
      <c r="AN3" s="18">
        <f>'Prix des produits et services '!$F$3*'Objectifs de ventes (quantité)'!AN3</f>
        <v>0</v>
      </c>
      <c r="AO3" s="99">
        <f t="shared" ref="AO3:AO21" si="2">SUM(AC3:AN3)</f>
        <v>0</v>
      </c>
      <c r="AP3" s="18">
        <f>'Prix des produits et services '!$G$3*'Objectifs de ventes (quantité)'!AP3</f>
        <v>0</v>
      </c>
      <c r="AQ3" s="18">
        <f>'Prix des produits et services '!$G$3*'Objectifs de ventes (quantité)'!AQ3</f>
        <v>0</v>
      </c>
      <c r="AR3" s="18">
        <f>'Prix des produits et services '!$G$3*'Objectifs de ventes (quantité)'!AR3</f>
        <v>0</v>
      </c>
      <c r="AS3" s="18">
        <f>'Prix des produits et services '!$G$3*'Objectifs de ventes (quantité)'!AS3</f>
        <v>0</v>
      </c>
      <c r="AT3" s="18">
        <f>'Prix des produits et services '!$G$3*'Objectifs de ventes (quantité)'!AT3</f>
        <v>0</v>
      </c>
      <c r="AU3" s="18">
        <f>'Prix des produits et services '!$G$3*'Objectifs de ventes (quantité)'!AU3</f>
        <v>0</v>
      </c>
      <c r="AV3" s="18">
        <f>'Prix des produits et services '!$G$3*'Objectifs de ventes (quantité)'!AV3</f>
        <v>0</v>
      </c>
      <c r="AW3" s="18">
        <f>'Prix des produits et services '!$G$3*'Objectifs de ventes (quantité)'!AW3</f>
        <v>0</v>
      </c>
      <c r="AX3" s="18">
        <f>'Prix des produits et services '!$G$3*'Objectifs de ventes (quantité)'!AX3</f>
        <v>0</v>
      </c>
      <c r="AY3" s="18">
        <f>'Prix des produits et services '!$G$3*'Objectifs de ventes (quantité)'!AY3</f>
        <v>0</v>
      </c>
      <c r="AZ3" s="18">
        <f>'Prix des produits et services '!$G$3*'Objectifs de ventes (quantité)'!AZ3</f>
        <v>0</v>
      </c>
      <c r="BA3" s="18">
        <f>'Prix des produits et services '!$G$3*'Objectifs de ventes (quantité)'!BA3</f>
        <v>0</v>
      </c>
      <c r="BB3" s="99">
        <f t="shared" ref="BB3:BB21" si="3">SUM(AP3:BA3)</f>
        <v>0</v>
      </c>
      <c r="BC3" s="18">
        <f>'Prix des produits et services '!$H$3*'Objectifs de ventes (quantité)'!BC3</f>
        <v>0</v>
      </c>
      <c r="BD3" s="18">
        <f>'Prix des produits et services '!$H$3*'Objectifs de ventes (quantité)'!BD3</f>
        <v>0</v>
      </c>
      <c r="BE3" s="18">
        <f>'Prix des produits et services '!$H$3*'Objectifs de ventes (quantité)'!BE3</f>
        <v>0</v>
      </c>
      <c r="BF3" s="18">
        <f>'Prix des produits et services '!$H$3*'Objectifs de ventes (quantité)'!BF3</f>
        <v>0</v>
      </c>
      <c r="BG3" s="18">
        <f>'Prix des produits et services '!$H$3*'Objectifs de ventes (quantité)'!BG3</f>
        <v>0</v>
      </c>
      <c r="BH3" s="18">
        <f>'Prix des produits et services '!$H$3*'Objectifs de ventes (quantité)'!BH3</f>
        <v>0</v>
      </c>
      <c r="BI3" s="18">
        <f>'Prix des produits et services '!$H$3*'Objectifs de ventes (quantité)'!BI3</f>
        <v>0</v>
      </c>
      <c r="BJ3" s="18">
        <f>'Prix des produits et services '!$H$3*'Objectifs de ventes (quantité)'!BJ3</f>
        <v>0</v>
      </c>
      <c r="BK3" s="18">
        <f>'Prix des produits et services '!$H$3*'Objectifs de ventes (quantité)'!BK3</f>
        <v>0</v>
      </c>
      <c r="BL3" s="18">
        <f>'Prix des produits et services '!$H$3*'Objectifs de ventes (quantité)'!BL3</f>
        <v>0</v>
      </c>
      <c r="BM3" s="18">
        <f>'Prix des produits et services '!$H$3*'Objectifs de ventes (quantité)'!BM3</f>
        <v>0</v>
      </c>
      <c r="BN3" s="18">
        <f>'Prix des produits et services '!$H$3*'Objectifs de ventes (quantité)'!BN3</f>
        <v>0</v>
      </c>
      <c r="BO3" s="99">
        <f t="shared" ref="BO3:BO20" si="4">SUM(BC3:BN3)</f>
        <v>0</v>
      </c>
    </row>
    <row r="4" spans="1:67" x14ac:dyDescent="0.3">
      <c r="A4" s="5" t="str">
        <f>'Prix des produits et services '!B4</f>
        <v>Produit ou Service 3</v>
      </c>
      <c r="B4" s="1">
        <f>'Prix des produits et services '!C4</f>
        <v>0</v>
      </c>
      <c r="C4" s="18">
        <f>'Prix des produits et services '!$D$4*'Objectifs de ventes (quantité)'!C4</f>
        <v>0</v>
      </c>
      <c r="D4" s="18">
        <f>'Prix des produits et services '!$D$4*'Objectifs de ventes (quantité)'!D4</f>
        <v>0</v>
      </c>
      <c r="E4" s="18">
        <f>'Prix des produits et services '!$D$4*'Objectifs de ventes (quantité)'!E4</f>
        <v>0</v>
      </c>
      <c r="F4" s="18">
        <f>'Prix des produits et services '!$D$4*'Objectifs de ventes (quantité)'!F4</f>
        <v>0</v>
      </c>
      <c r="G4" s="18">
        <f>'Prix des produits et services '!$D$4*'Objectifs de ventes (quantité)'!G4</f>
        <v>0</v>
      </c>
      <c r="H4" s="18">
        <f>'Prix des produits et services '!$D$4*'Objectifs de ventes (quantité)'!H4</f>
        <v>0</v>
      </c>
      <c r="I4" s="18">
        <f>'Prix des produits et services '!$D$4*'Objectifs de ventes (quantité)'!I4</f>
        <v>0</v>
      </c>
      <c r="J4" s="18">
        <f>'Prix des produits et services '!$D$4*'Objectifs de ventes (quantité)'!J4</f>
        <v>0</v>
      </c>
      <c r="K4" s="18">
        <f>'Prix des produits et services '!$D$4*'Objectifs de ventes (quantité)'!K4</f>
        <v>0</v>
      </c>
      <c r="L4" s="18">
        <f>'Prix des produits et services '!$D$4*'Objectifs de ventes (quantité)'!L4</f>
        <v>0</v>
      </c>
      <c r="M4" s="18">
        <f>'Prix des produits et services '!$D$4*'Objectifs de ventes (quantité)'!M4</f>
        <v>0</v>
      </c>
      <c r="N4" s="18">
        <f>'Prix des produits et services '!$D$4*'Objectifs de ventes (quantité)'!N4</f>
        <v>0</v>
      </c>
      <c r="O4" s="99">
        <f t="shared" si="0"/>
        <v>0</v>
      </c>
      <c r="P4" s="18">
        <f>'Prix des produits et services '!$E$4*'Objectifs de ventes (quantité)'!P4</f>
        <v>0</v>
      </c>
      <c r="Q4" s="18">
        <f>'Prix des produits et services '!$E$4*'Objectifs de ventes (quantité)'!Q4</f>
        <v>0</v>
      </c>
      <c r="R4" s="18">
        <f>'Prix des produits et services '!$E$4*'Objectifs de ventes (quantité)'!R4</f>
        <v>0</v>
      </c>
      <c r="S4" s="18">
        <f>'Prix des produits et services '!$E$4*'Objectifs de ventes (quantité)'!S4</f>
        <v>0</v>
      </c>
      <c r="T4" s="18">
        <f>'Prix des produits et services '!$E$4*'Objectifs de ventes (quantité)'!T4</f>
        <v>0</v>
      </c>
      <c r="U4" s="18">
        <f>'Prix des produits et services '!$E$4*'Objectifs de ventes (quantité)'!U4</f>
        <v>0</v>
      </c>
      <c r="V4" s="18">
        <f>'Prix des produits et services '!$E$4*'Objectifs de ventes (quantité)'!V4</f>
        <v>0</v>
      </c>
      <c r="W4" s="18">
        <f>'Prix des produits et services '!$E$4*'Objectifs de ventes (quantité)'!W4</f>
        <v>0</v>
      </c>
      <c r="X4" s="18">
        <f>'Prix des produits et services '!$E$4*'Objectifs de ventes (quantité)'!X4</f>
        <v>0</v>
      </c>
      <c r="Y4" s="18">
        <f>'Prix des produits et services '!$E$4*'Objectifs de ventes (quantité)'!Y4</f>
        <v>0</v>
      </c>
      <c r="Z4" s="18">
        <f>'Prix des produits et services '!$E$4*'Objectifs de ventes (quantité)'!Z4</f>
        <v>0</v>
      </c>
      <c r="AA4" s="18">
        <f>'Prix des produits et services '!$E$4*'Objectifs de ventes (quantité)'!AA4</f>
        <v>0</v>
      </c>
      <c r="AB4" s="99">
        <f t="shared" si="1"/>
        <v>0</v>
      </c>
      <c r="AC4" s="18">
        <f>'Prix des produits et services '!$F$4*'Objectifs de ventes (quantité)'!AC4</f>
        <v>0</v>
      </c>
      <c r="AD4" s="18">
        <f>'Prix des produits et services '!$F$4*'Objectifs de ventes (quantité)'!AD4</f>
        <v>0</v>
      </c>
      <c r="AE4" s="18">
        <f>'Prix des produits et services '!$F$4*'Objectifs de ventes (quantité)'!AE4</f>
        <v>0</v>
      </c>
      <c r="AF4" s="18">
        <f>'Prix des produits et services '!$F$4*'Objectifs de ventes (quantité)'!AF4</f>
        <v>0</v>
      </c>
      <c r="AG4" s="18">
        <f>'Prix des produits et services '!$F$4*'Objectifs de ventes (quantité)'!AG4</f>
        <v>0</v>
      </c>
      <c r="AH4" s="18">
        <f>'Prix des produits et services '!$F$4*'Objectifs de ventes (quantité)'!AH4</f>
        <v>0</v>
      </c>
      <c r="AI4" s="18">
        <f>'Prix des produits et services '!$F$4*'Objectifs de ventes (quantité)'!AI4</f>
        <v>0</v>
      </c>
      <c r="AJ4" s="18">
        <f>'Prix des produits et services '!$F$4*'Objectifs de ventes (quantité)'!AJ4</f>
        <v>0</v>
      </c>
      <c r="AK4" s="18">
        <f>'Prix des produits et services '!$F$4*'Objectifs de ventes (quantité)'!AK4</f>
        <v>0</v>
      </c>
      <c r="AL4" s="18">
        <f>'Prix des produits et services '!$F$4*'Objectifs de ventes (quantité)'!AL4</f>
        <v>0</v>
      </c>
      <c r="AM4" s="18">
        <f>'Prix des produits et services '!$F$4*'Objectifs de ventes (quantité)'!AM4</f>
        <v>0</v>
      </c>
      <c r="AN4" s="18">
        <f>'Prix des produits et services '!$F$4*'Objectifs de ventes (quantité)'!AN4</f>
        <v>0</v>
      </c>
      <c r="AO4" s="99">
        <f t="shared" si="2"/>
        <v>0</v>
      </c>
      <c r="AP4" s="18">
        <f>'Prix des produits et services '!$G$4*'Objectifs de ventes (quantité)'!AP4</f>
        <v>0</v>
      </c>
      <c r="AQ4" s="18">
        <f>'Prix des produits et services '!$G$4*'Objectifs de ventes (quantité)'!AQ4</f>
        <v>0</v>
      </c>
      <c r="AR4" s="18">
        <f>'Prix des produits et services '!$G$4*'Objectifs de ventes (quantité)'!AR4</f>
        <v>0</v>
      </c>
      <c r="AS4" s="18">
        <f>'Prix des produits et services '!$G$4*'Objectifs de ventes (quantité)'!AS4</f>
        <v>0</v>
      </c>
      <c r="AT4" s="18">
        <f>'Prix des produits et services '!$G$4*'Objectifs de ventes (quantité)'!AT4</f>
        <v>0</v>
      </c>
      <c r="AU4" s="18">
        <f>'Prix des produits et services '!$G$4*'Objectifs de ventes (quantité)'!AU4</f>
        <v>0</v>
      </c>
      <c r="AV4" s="18">
        <f>'Prix des produits et services '!$G$4*'Objectifs de ventes (quantité)'!AV4</f>
        <v>0</v>
      </c>
      <c r="AW4" s="18">
        <f>'Prix des produits et services '!$G$4*'Objectifs de ventes (quantité)'!AW4</f>
        <v>0</v>
      </c>
      <c r="AX4" s="18">
        <f>'Prix des produits et services '!$G$4*'Objectifs de ventes (quantité)'!AX4</f>
        <v>0</v>
      </c>
      <c r="AY4" s="18">
        <f>'Prix des produits et services '!$G$4*'Objectifs de ventes (quantité)'!AY4</f>
        <v>0</v>
      </c>
      <c r="AZ4" s="18">
        <f>'Prix des produits et services '!$G$4*'Objectifs de ventes (quantité)'!AZ4</f>
        <v>0</v>
      </c>
      <c r="BA4" s="18">
        <f>'Prix des produits et services '!$G$4*'Objectifs de ventes (quantité)'!BA4</f>
        <v>0</v>
      </c>
      <c r="BB4" s="99">
        <f t="shared" si="3"/>
        <v>0</v>
      </c>
      <c r="BC4" s="18">
        <f>'Prix des produits et services '!$H$4*'Objectifs de ventes (quantité)'!BC4</f>
        <v>0</v>
      </c>
      <c r="BD4" s="18">
        <f>'Prix des produits et services '!$H$4*'Objectifs de ventes (quantité)'!BD4</f>
        <v>0</v>
      </c>
      <c r="BE4" s="18">
        <f>'Prix des produits et services '!$H$4*'Objectifs de ventes (quantité)'!BE4</f>
        <v>0</v>
      </c>
      <c r="BF4" s="18">
        <f>'Prix des produits et services '!$H$4*'Objectifs de ventes (quantité)'!BF4</f>
        <v>0</v>
      </c>
      <c r="BG4" s="18">
        <f>'Prix des produits et services '!$H$4*'Objectifs de ventes (quantité)'!BG4</f>
        <v>0</v>
      </c>
      <c r="BH4" s="18">
        <f>'Prix des produits et services '!$H$4*'Objectifs de ventes (quantité)'!BH4</f>
        <v>0</v>
      </c>
      <c r="BI4" s="18">
        <f>'Prix des produits et services '!$H$4*'Objectifs de ventes (quantité)'!BI4</f>
        <v>0</v>
      </c>
      <c r="BJ4" s="18">
        <f>'Prix des produits et services '!$H$4*'Objectifs de ventes (quantité)'!BJ4</f>
        <v>0</v>
      </c>
      <c r="BK4" s="18">
        <f>'Prix des produits et services '!$H$4*'Objectifs de ventes (quantité)'!BK4</f>
        <v>0</v>
      </c>
      <c r="BL4" s="18">
        <f>'Prix des produits et services '!$H$4*'Objectifs de ventes (quantité)'!BL4</f>
        <v>0</v>
      </c>
      <c r="BM4" s="18">
        <f>'Prix des produits et services '!$H$4*'Objectifs de ventes (quantité)'!BM4</f>
        <v>0</v>
      </c>
      <c r="BN4" s="18">
        <f>'Prix des produits et services '!$H$4*'Objectifs de ventes (quantité)'!BN4</f>
        <v>0</v>
      </c>
      <c r="BO4" s="99">
        <f t="shared" si="4"/>
        <v>0</v>
      </c>
    </row>
    <row r="5" spans="1:67" x14ac:dyDescent="0.3">
      <c r="A5" s="5" t="str">
        <f>'Prix des produits et services '!B5</f>
        <v>Produit ou Service 4</v>
      </c>
      <c r="B5" s="1">
        <f>'Prix des produits et services '!C5</f>
        <v>0</v>
      </c>
      <c r="C5" s="18">
        <f>'Prix des produits et services '!$D$5*'Objectifs de ventes (quantité)'!C5</f>
        <v>0</v>
      </c>
      <c r="D5" s="18">
        <f>'Prix des produits et services '!$D$5*'Objectifs de ventes (quantité)'!D5</f>
        <v>0</v>
      </c>
      <c r="E5" s="18">
        <f>'Prix des produits et services '!$D$5*'Objectifs de ventes (quantité)'!E5</f>
        <v>0</v>
      </c>
      <c r="F5" s="18">
        <f>'Prix des produits et services '!$D$5*'Objectifs de ventes (quantité)'!F5</f>
        <v>0</v>
      </c>
      <c r="G5" s="18">
        <f>'Prix des produits et services '!$D$5*'Objectifs de ventes (quantité)'!G5</f>
        <v>0</v>
      </c>
      <c r="H5" s="18">
        <f>'Prix des produits et services '!$D$5*'Objectifs de ventes (quantité)'!H5</f>
        <v>0</v>
      </c>
      <c r="I5" s="18">
        <f>'Prix des produits et services '!$D$5*'Objectifs de ventes (quantité)'!I5</f>
        <v>0</v>
      </c>
      <c r="J5" s="18">
        <f>'Prix des produits et services '!$D$5*'Objectifs de ventes (quantité)'!J5</f>
        <v>0</v>
      </c>
      <c r="K5" s="18">
        <f>'Prix des produits et services '!$D$5*'Objectifs de ventes (quantité)'!K5</f>
        <v>0</v>
      </c>
      <c r="L5" s="18">
        <f>'Prix des produits et services '!$D$5*'Objectifs de ventes (quantité)'!L5</f>
        <v>0</v>
      </c>
      <c r="M5" s="18">
        <f>'Prix des produits et services '!$D$5*'Objectifs de ventes (quantité)'!M5</f>
        <v>0</v>
      </c>
      <c r="N5" s="18">
        <f>'Prix des produits et services '!$D$5*'Objectifs de ventes (quantité)'!N5</f>
        <v>0</v>
      </c>
      <c r="O5" s="99">
        <f t="shared" si="0"/>
        <v>0</v>
      </c>
      <c r="P5" s="18">
        <f>'Prix des produits et services '!$E$5*'Objectifs de ventes (quantité)'!P5</f>
        <v>0</v>
      </c>
      <c r="Q5" s="18">
        <f>'Prix des produits et services '!$E$5*'Objectifs de ventes (quantité)'!Q5</f>
        <v>0</v>
      </c>
      <c r="R5" s="18">
        <f>'Prix des produits et services '!$E$5*'Objectifs de ventes (quantité)'!R5</f>
        <v>0</v>
      </c>
      <c r="S5" s="18">
        <f>'Prix des produits et services '!$E$5*'Objectifs de ventes (quantité)'!S5</f>
        <v>0</v>
      </c>
      <c r="T5" s="18">
        <f>'Prix des produits et services '!$E$5*'Objectifs de ventes (quantité)'!T5</f>
        <v>0</v>
      </c>
      <c r="U5" s="18">
        <f>'Prix des produits et services '!$E$5*'Objectifs de ventes (quantité)'!U5</f>
        <v>0</v>
      </c>
      <c r="V5" s="18">
        <f>'Prix des produits et services '!$E$5*'Objectifs de ventes (quantité)'!V5</f>
        <v>0</v>
      </c>
      <c r="W5" s="18">
        <f>'Prix des produits et services '!$E$5*'Objectifs de ventes (quantité)'!W5</f>
        <v>0</v>
      </c>
      <c r="X5" s="18">
        <f>'Prix des produits et services '!$E$5*'Objectifs de ventes (quantité)'!X5</f>
        <v>0</v>
      </c>
      <c r="Y5" s="18">
        <f>'Prix des produits et services '!$E$5*'Objectifs de ventes (quantité)'!Y5</f>
        <v>0</v>
      </c>
      <c r="Z5" s="18">
        <f>'Prix des produits et services '!$E$5*'Objectifs de ventes (quantité)'!Z5</f>
        <v>0</v>
      </c>
      <c r="AA5" s="18">
        <f>'Prix des produits et services '!$E$5*'Objectifs de ventes (quantité)'!AA5</f>
        <v>0</v>
      </c>
      <c r="AB5" s="99">
        <f t="shared" si="1"/>
        <v>0</v>
      </c>
      <c r="AC5" s="18">
        <f>'Prix des produits et services '!$F$5*'Objectifs de ventes (quantité)'!AC5</f>
        <v>0</v>
      </c>
      <c r="AD5" s="18">
        <f>'Prix des produits et services '!$F$5*'Objectifs de ventes (quantité)'!AD5</f>
        <v>0</v>
      </c>
      <c r="AE5" s="18">
        <f>'Prix des produits et services '!$F$5*'Objectifs de ventes (quantité)'!AE5</f>
        <v>0</v>
      </c>
      <c r="AF5" s="18">
        <f>'Prix des produits et services '!$F$5*'Objectifs de ventes (quantité)'!AF5</f>
        <v>0</v>
      </c>
      <c r="AG5" s="18">
        <f>'Prix des produits et services '!$F$5*'Objectifs de ventes (quantité)'!AG5</f>
        <v>0</v>
      </c>
      <c r="AH5" s="18">
        <f>'Prix des produits et services '!$F$5*'Objectifs de ventes (quantité)'!AH5</f>
        <v>0</v>
      </c>
      <c r="AI5" s="18">
        <f>'Prix des produits et services '!$F$5*'Objectifs de ventes (quantité)'!AI5</f>
        <v>0</v>
      </c>
      <c r="AJ5" s="18">
        <f>'Prix des produits et services '!$F$5*'Objectifs de ventes (quantité)'!AJ5</f>
        <v>0</v>
      </c>
      <c r="AK5" s="18">
        <f>'Prix des produits et services '!$F$5*'Objectifs de ventes (quantité)'!AK5</f>
        <v>0</v>
      </c>
      <c r="AL5" s="18">
        <f>'Prix des produits et services '!$F$5*'Objectifs de ventes (quantité)'!AL5</f>
        <v>0</v>
      </c>
      <c r="AM5" s="18">
        <f>'Prix des produits et services '!$F$5*'Objectifs de ventes (quantité)'!AM5</f>
        <v>0</v>
      </c>
      <c r="AN5" s="18">
        <f>'Prix des produits et services '!$F$5*'Objectifs de ventes (quantité)'!AN5</f>
        <v>0</v>
      </c>
      <c r="AO5" s="99">
        <f t="shared" si="2"/>
        <v>0</v>
      </c>
      <c r="AP5" s="18">
        <f>'Prix des produits et services '!$G$5*'Objectifs de ventes (quantité)'!AP5</f>
        <v>0</v>
      </c>
      <c r="AQ5" s="18">
        <f>'Prix des produits et services '!$G$5*'Objectifs de ventes (quantité)'!AQ5</f>
        <v>0</v>
      </c>
      <c r="AR5" s="18">
        <f>'Prix des produits et services '!$G$5*'Objectifs de ventes (quantité)'!AR5</f>
        <v>0</v>
      </c>
      <c r="AS5" s="18">
        <f>'Prix des produits et services '!$G$5*'Objectifs de ventes (quantité)'!AS5</f>
        <v>0</v>
      </c>
      <c r="AT5" s="18">
        <f>'Prix des produits et services '!$G$5*'Objectifs de ventes (quantité)'!AT5</f>
        <v>0</v>
      </c>
      <c r="AU5" s="18">
        <f>'Prix des produits et services '!$G$5*'Objectifs de ventes (quantité)'!AU5</f>
        <v>0</v>
      </c>
      <c r="AV5" s="18">
        <f>'Prix des produits et services '!$G$5*'Objectifs de ventes (quantité)'!AV5</f>
        <v>0</v>
      </c>
      <c r="AW5" s="18">
        <f>'Prix des produits et services '!$G$5*'Objectifs de ventes (quantité)'!AW5</f>
        <v>0</v>
      </c>
      <c r="AX5" s="18">
        <f>'Prix des produits et services '!$G$5*'Objectifs de ventes (quantité)'!AX5</f>
        <v>0</v>
      </c>
      <c r="AY5" s="18">
        <f>'Prix des produits et services '!$G$5*'Objectifs de ventes (quantité)'!AY5</f>
        <v>0</v>
      </c>
      <c r="AZ5" s="18">
        <f>'Prix des produits et services '!$G$5*'Objectifs de ventes (quantité)'!AZ5</f>
        <v>0</v>
      </c>
      <c r="BA5" s="18">
        <f>'Prix des produits et services '!$G$5*'Objectifs de ventes (quantité)'!BA5</f>
        <v>0</v>
      </c>
      <c r="BB5" s="99">
        <f t="shared" si="3"/>
        <v>0</v>
      </c>
      <c r="BC5" s="18">
        <f>'Prix des produits et services '!$H$5*'Objectifs de ventes (quantité)'!BC5</f>
        <v>0</v>
      </c>
      <c r="BD5" s="18">
        <f>'Prix des produits et services '!$H$5*'Objectifs de ventes (quantité)'!BD5</f>
        <v>0</v>
      </c>
      <c r="BE5" s="18">
        <f>'Prix des produits et services '!$H$5*'Objectifs de ventes (quantité)'!BE5</f>
        <v>0</v>
      </c>
      <c r="BF5" s="18">
        <f>'Prix des produits et services '!$H$5*'Objectifs de ventes (quantité)'!BF5</f>
        <v>0</v>
      </c>
      <c r="BG5" s="18">
        <f>'Prix des produits et services '!$H$5*'Objectifs de ventes (quantité)'!BG5</f>
        <v>0</v>
      </c>
      <c r="BH5" s="18">
        <f>'Prix des produits et services '!$H$5*'Objectifs de ventes (quantité)'!BH5</f>
        <v>0</v>
      </c>
      <c r="BI5" s="18">
        <f>'Prix des produits et services '!$H$5*'Objectifs de ventes (quantité)'!BI5</f>
        <v>0</v>
      </c>
      <c r="BJ5" s="18">
        <f>'Prix des produits et services '!$H$5*'Objectifs de ventes (quantité)'!BJ5</f>
        <v>0</v>
      </c>
      <c r="BK5" s="18">
        <f>'Prix des produits et services '!$H$5*'Objectifs de ventes (quantité)'!BK5</f>
        <v>0</v>
      </c>
      <c r="BL5" s="18">
        <f>'Prix des produits et services '!$H$5*'Objectifs de ventes (quantité)'!BL5</f>
        <v>0</v>
      </c>
      <c r="BM5" s="18">
        <f>'Prix des produits et services '!$H$5*'Objectifs de ventes (quantité)'!BM5</f>
        <v>0</v>
      </c>
      <c r="BN5" s="18">
        <f>'Prix des produits et services '!$H$5*'Objectifs de ventes (quantité)'!BN5</f>
        <v>0</v>
      </c>
      <c r="BO5" s="99">
        <f t="shared" si="4"/>
        <v>0</v>
      </c>
    </row>
    <row r="6" spans="1:67" x14ac:dyDescent="0.3">
      <c r="A6" s="5" t="str">
        <f>'Prix des produits et services '!B6</f>
        <v>Produit ou Service 5</v>
      </c>
      <c r="B6" s="1">
        <f>'Prix des produits et services '!C6</f>
        <v>0</v>
      </c>
      <c r="C6" s="18">
        <f>'Prix des produits et services '!$D$6*'Objectifs de ventes (quantité)'!C6</f>
        <v>0</v>
      </c>
      <c r="D6" s="18">
        <f>'Prix des produits et services '!$D$6*'Objectifs de ventes (quantité)'!D6</f>
        <v>0</v>
      </c>
      <c r="E6" s="18">
        <f>'Prix des produits et services '!$D$6*'Objectifs de ventes (quantité)'!E6</f>
        <v>0</v>
      </c>
      <c r="F6" s="18">
        <f>'Prix des produits et services '!$D$6*'Objectifs de ventes (quantité)'!F6</f>
        <v>0</v>
      </c>
      <c r="G6" s="18">
        <f>'Prix des produits et services '!$D$6*'Objectifs de ventes (quantité)'!G6</f>
        <v>0</v>
      </c>
      <c r="H6" s="18">
        <f>'Prix des produits et services '!$D$6*'Objectifs de ventes (quantité)'!H6</f>
        <v>0</v>
      </c>
      <c r="I6" s="18">
        <f>'Prix des produits et services '!$D$6*'Objectifs de ventes (quantité)'!I6</f>
        <v>0</v>
      </c>
      <c r="J6" s="18">
        <f>'Prix des produits et services '!$D$6*'Objectifs de ventes (quantité)'!J6</f>
        <v>0</v>
      </c>
      <c r="K6" s="18">
        <f>'Prix des produits et services '!$D$6*'Objectifs de ventes (quantité)'!K6</f>
        <v>0</v>
      </c>
      <c r="L6" s="18">
        <f>'Prix des produits et services '!$D$6*'Objectifs de ventes (quantité)'!L6</f>
        <v>0</v>
      </c>
      <c r="M6" s="18">
        <f>'Prix des produits et services '!$D$6*'Objectifs de ventes (quantité)'!M6</f>
        <v>0</v>
      </c>
      <c r="N6" s="18">
        <f>'Prix des produits et services '!$D$6*'Objectifs de ventes (quantité)'!N6</f>
        <v>0</v>
      </c>
      <c r="O6" s="99">
        <f t="shared" si="0"/>
        <v>0</v>
      </c>
      <c r="P6" s="18">
        <f>'Prix des produits et services '!$E$6*'Objectifs de ventes (quantité)'!P6</f>
        <v>0</v>
      </c>
      <c r="Q6" s="18">
        <f>'Prix des produits et services '!$E$6*'Objectifs de ventes (quantité)'!Q6</f>
        <v>0</v>
      </c>
      <c r="R6" s="18">
        <f>'Prix des produits et services '!$E$6*'Objectifs de ventes (quantité)'!R6</f>
        <v>0</v>
      </c>
      <c r="S6" s="18">
        <f>'Prix des produits et services '!$E$6*'Objectifs de ventes (quantité)'!S6</f>
        <v>0</v>
      </c>
      <c r="T6" s="18">
        <f>'Prix des produits et services '!$E$6*'Objectifs de ventes (quantité)'!T6</f>
        <v>0</v>
      </c>
      <c r="U6" s="18">
        <f>'Prix des produits et services '!$E$6*'Objectifs de ventes (quantité)'!U6</f>
        <v>0</v>
      </c>
      <c r="V6" s="18">
        <f>'Prix des produits et services '!$E$6*'Objectifs de ventes (quantité)'!V6</f>
        <v>0</v>
      </c>
      <c r="W6" s="18">
        <f>'Prix des produits et services '!$E$6*'Objectifs de ventes (quantité)'!W6</f>
        <v>0</v>
      </c>
      <c r="X6" s="18">
        <f>'Prix des produits et services '!$E$6*'Objectifs de ventes (quantité)'!X6</f>
        <v>0</v>
      </c>
      <c r="Y6" s="18">
        <f>'Prix des produits et services '!$E$6*'Objectifs de ventes (quantité)'!Y6</f>
        <v>0</v>
      </c>
      <c r="Z6" s="18">
        <f>'Prix des produits et services '!$E$6*'Objectifs de ventes (quantité)'!Z6</f>
        <v>0</v>
      </c>
      <c r="AA6" s="18">
        <f>'Prix des produits et services '!$E$6*'Objectifs de ventes (quantité)'!AA6</f>
        <v>0</v>
      </c>
      <c r="AB6" s="99">
        <f t="shared" si="1"/>
        <v>0</v>
      </c>
      <c r="AC6" s="18">
        <f>'Prix des produits et services '!$F$6*'Objectifs de ventes (quantité)'!AC6</f>
        <v>0</v>
      </c>
      <c r="AD6" s="18">
        <f>'Prix des produits et services '!$F$6*'Objectifs de ventes (quantité)'!AD6</f>
        <v>0</v>
      </c>
      <c r="AE6" s="18">
        <f>'Prix des produits et services '!$F$6*'Objectifs de ventes (quantité)'!AE6</f>
        <v>0</v>
      </c>
      <c r="AF6" s="18">
        <f>'Prix des produits et services '!$F$6*'Objectifs de ventes (quantité)'!AF6</f>
        <v>0</v>
      </c>
      <c r="AG6" s="18">
        <f>'Prix des produits et services '!$F$6*'Objectifs de ventes (quantité)'!AG6</f>
        <v>0</v>
      </c>
      <c r="AH6" s="18">
        <f>'Prix des produits et services '!$F$6*'Objectifs de ventes (quantité)'!AH6</f>
        <v>0</v>
      </c>
      <c r="AI6" s="18">
        <f>'Prix des produits et services '!$F$6*'Objectifs de ventes (quantité)'!AI6</f>
        <v>0</v>
      </c>
      <c r="AJ6" s="18">
        <f>'Prix des produits et services '!$F$6*'Objectifs de ventes (quantité)'!AJ6</f>
        <v>0</v>
      </c>
      <c r="AK6" s="18">
        <f>'Prix des produits et services '!$F$6*'Objectifs de ventes (quantité)'!AK6</f>
        <v>0</v>
      </c>
      <c r="AL6" s="18">
        <f>'Prix des produits et services '!$F$6*'Objectifs de ventes (quantité)'!AL6</f>
        <v>0</v>
      </c>
      <c r="AM6" s="18">
        <f>'Prix des produits et services '!$F$6*'Objectifs de ventes (quantité)'!AM6</f>
        <v>0</v>
      </c>
      <c r="AN6" s="18">
        <f>'Prix des produits et services '!$F$6*'Objectifs de ventes (quantité)'!AN6</f>
        <v>0</v>
      </c>
      <c r="AO6" s="99">
        <f t="shared" si="2"/>
        <v>0</v>
      </c>
      <c r="AP6" s="18">
        <f>'Prix des produits et services '!$G$6*'Objectifs de ventes (quantité)'!AP6</f>
        <v>0</v>
      </c>
      <c r="AQ6" s="18">
        <f>'Prix des produits et services '!$G$6*'Objectifs de ventes (quantité)'!AQ6</f>
        <v>0</v>
      </c>
      <c r="AR6" s="18">
        <f>'Prix des produits et services '!$G$6*'Objectifs de ventes (quantité)'!AR6</f>
        <v>0</v>
      </c>
      <c r="AS6" s="18">
        <f>'Prix des produits et services '!$G$6*'Objectifs de ventes (quantité)'!AS6</f>
        <v>0</v>
      </c>
      <c r="AT6" s="18">
        <f>'Prix des produits et services '!$G$6*'Objectifs de ventes (quantité)'!AT6</f>
        <v>0</v>
      </c>
      <c r="AU6" s="18">
        <f>'Prix des produits et services '!$G$6*'Objectifs de ventes (quantité)'!AU6</f>
        <v>0</v>
      </c>
      <c r="AV6" s="18">
        <f>'Prix des produits et services '!$G$6*'Objectifs de ventes (quantité)'!AV6</f>
        <v>0</v>
      </c>
      <c r="AW6" s="18">
        <f>'Prix des produits et services '!$G$6*'Objectifs de ventes (quantité)'!AW6</f>
        <v>0</v>
      </c>
      <c r="AX6" s="18">
        <f>'Prix des produits et services '!$G$6*'Objectifs de ventes (quantité)'!AX6</f>
        <v>0</v>
      </c>
      <c r="AY6" s="18">
        <f>'Prix des produits et services '!$G$6*'Objectifs de ventes (quantité)'!AY6</f>
        <v>0</v>
      </c>
      <c r="AZ6" s="18">
        <f>'Prix des produits et services '!$G$6*'Objectifs de ventes (quantité)'!AZ6</f>
        <v>0</v>
      </c>
      <c r="BA6" s="18">
        <f>'Prix des produits et services '!$G$6*'Objectifs de ventes (quantité)'!BA6</f>
        <v>0</v>
      </c>
      <c r="BB6" s="99">
        <f t="shared" si="3"/>
        <v>0</v>
      </c>
      <c r="BC6" s="18">
        <f>'Prix des produits et services '!$H$6*'Objectifs de ventes (quantité)'!BC6</f>
        <v>0</v>
      </c>
      <c r="BD6" s="18">
        <f>'Prix des produits et services '!$H$6*'Objectifs de ventes (quantité)'!BD6</f>
        <v>0</v>
      </c>
      <c r="BE6" s="18">
        <f>'Prix des produits et services '!$H$6*'Objectifs de ventes (quantité)'!BE6</f>
        <v>0</v>
      </c>
      <c r="BF6" s="18">
        <f>'Prix des produits et services '!$H$6*'Objectifs de ventes (quantité)'!BF6</f>
        <v>0</v>
      </c>
      <c r="BG6" s="18">
        <f>'Prix des produits et services '!$H$6*'Objectifs de ventes (quantité)'!BG6</f>
        <v>0</v>
      </c>
      <c r="BH6" s="18">
        <f>'Prix des produits et services '!$H$6*'Objectifs de ventes (quantité)'!BH6</f>
        <v>0</v>
      </c>
      <c r="BI6" s="18">
        <f>'Prix des produits et services '!$H$6*'Objectifs de ventes (quantité)'!BI6</f>
        <v>0</v>
      </c>
      <c r="BJ6" s="18">
        <f>'Prix des produits et services '!$H$6*'Objectifs de ventes (quantité)'!BJ6</f>
        <v>0</v>
      </c>
      <c r="BK6" s="18">
        <f>'Prix des produits et services '!$H$6*'Objectifs de ventes (quantité)'!BK6</f>
        <v>0</v>
      </c>
      <c r="BL6" s="18">
        <f>'Prix des produits et services '!$H$6*'Objectifs de ventes (quantité)'!BL6</f>
        <v>0</v>
      </c>
      <c r="BM6" s="18">
        <f>'Prix des produits et services '!$H$6*'Objectifs de ventes (quantité)'!BM6</f>
        <v>0</v>
      </c>
      <c r="BN6" s="18">
        <f>'Prix des produits et services '!$H$6*'Objectifs de ventes (quantité)'!BN6</f>
        <v>0</v>
      </c>
      <c r="BO6" s="99">
        <f t="shared" si="4"/>
        <v>0</v>
      </c>
    </row>
    <row r="7" spans="1:67" x14ac:dyDescent="0.3">
      <c r="A7" s="5" t="str">
        <f>'Prix des produits et services '!B7</f>
        <v>Produit ou Service 6</v>
      </c>
      <c r="B7" s="1">
        <f>'Prix des produits et services '!C7</f>
        <v>0</v>
      </c>
      <c r="C7" s="18">
        <f>'Prix des produits et services '!$D$7*'Objectifs de ventes (quantité)'!C7</f>
        <v>0</v>
      </c>
      <c r="D7" s="18">
        <f>'Prix des produits et services '!$D$7*'Objectifs de ventes (quantité)'!D7</f>
        <v>0</v>
      </c>
      <c r="E7" s="18">
        <f>'Prix des produits et services '!$D$7*'Objectifs de ventes (quantité)'!E7</f>
        <v>0</v>
      </c>
      <c r="F7" s="18">
        <f>'Prix des produits et services '!$D$7*'Objectifs de ventes (quantité)'!F7</f>
        <v>0</v>
      </c>
      <c r="G7" s="18">
        <f>'Prix des produits et services '!$D$7*'Objectifs de ventes (quantité)'!G7</f>
        <v>0</v>
      </c>
      <c r="H7" s="18">
        <f>'Prix des produits et services '!$D$7*'Objectifs de ventes (quantité)'!H7</f>
        <v>0</v>
      </c>
      <c r="I7" s="18">
        <f>'Prix des produits et services '!$D$7*'Objectifs de ventes (quantité)'!I7</f>
        <v>0</v>
      </c>
      <c r="J7" s="18">
        <f>'Prix des produits et services '!$D$7*'Objectifs de ventes (quantité)'!J7</f>
        <v>0</v>
      </c>
      <c r="K7" s="18">
        <f>'Prix des produits et services '!$D$7*'Objectifs de ventes (quantité)'!K7</f>
        <v>0</v>
      </c>
      <c r="L7" s="18">
        <f>'Prix des produits et services '!$D$7*'Objectifs de ventes (quantité)'!L7</f>
        <v>0</v>
      </c>
      <c r="M7" s="18">
        <f>'Prix des produits et services '!$D$7*'Objectifs de ventes (quantité)'!M7</f>
        <v>0</v>
      </c>
      <c r="N7" s="18">
        <f>'Prix des produits et services '!$D$7*'Objectifs de ventes (quantité)'!N7</f>
        <v>0</v>
      </c>
      <c r="O7" s="99">
        <f t="shared" si="0"/>
        <v>0</v>
      </c>
      <c r="P7" s="18">
        <f>'Prix des produits et services '!$E$7*'Objectifs de ventes (quantité)'!P7</f>
        <v>0</v>
      </c>
      <c r="Q7" s="18">
        <f>'Prix des produits et services '!$E$7*'Objectifs de ventes (quantité)'!Q7</f>
        <v>0</v>
      </c>
      <c r="R7" s="18">
        <f>'Prix des produits et services '!$E$7*'Objectifs de ventes (quantité)'!R7</f>
        <v>0</v>
      </c>
      <c r="S7" s="18">
        <f>'Prix des produits et services '!$E$7*'Objectifs de ventes (quantité)'!S7</f>
        <v>0</v>
      </c>
      <c r="T7" s="18">
        <f>'Prix des produits et services '!$E$7*'Objectifs de ventes (quantité)'!T7</f>
        <v>0</v>
      </c>
      <c r="U7" s="18">
        <f>'Prix des produits et services '!$E$7*'Objectifs de ventes (quantité)'!U7</f>
        <v>0</v>
      </c>
      <c r="V7" s="18">
        <f>'Prix des produits et services '!$E$7*'Objectifs de ventes (quantité)'!V7</f>
        <v>0</v>
      </c>
      <c r="W7" s="18">
        <f>'Prix des produits et services '!$E$7*'Objectifs de ventes (quantité)'!W7</f>
        <v>0</v>
      </c>
      <c r="X7" s="18">
        <f>'Prix des produits et services '!$E$7*'Objectifs de ventes (quantité)'!X7</f>
        <v>0</v>
      </c>
      <c r="Y7" s="18">
        <f>'Prix des produits et services '!$E$7*'Objectifs de ventes (quantité)'!Y7</f>
        <v>0</v>
      </c>
      <c r="Z7" s="18">
        <f>'Prix des produits et services '!$E$7*'Objectifs de ventes (quantité)'!Z7</f>
        <v>0</v>
      </c>
      <c r="AA7" s="18">
        <f>'Prix des produits et services '!$E$7*'Objectifs de ventes (quantité)'!AA7</f>
        <v>0</v>
      </c>
      <c r="AB7" s="99">
        <f t="shared" si="1"/>
        <v>0</v>
      </c>
      <c r="AC7" s="18">
        <f>'Prix des produits et services '!F7*'Objectifs de ventes (quantité)'!AC7</f>
        <v>0</v>
      </c>
      <c r="AD7" s="18">
        <f>'Prix des produits et services '!G7*'Objectifs de ventes (quantité)'!AD7</f>
        <v>0</v>
      </c>
      <c r="AE7" s="18">
        <f>'Prix des produits et services '!H7*'Objectifs de ventes (quantité)'!AE7</f>
        <v>0</v>
      </c>
      <c r="AF7" s="18">
        <f>'Prix des produits et services '!I7*'Objectifs de ventes (quantité)'!AF7</f>
        <v>0</v>
      </c>
      <c r="AG7" s="18">
        <f>'Prix des produits et services '!J7*'Objectifs de ventes (quantité)'!AG7</f>
        <v>0</v>
      </c>
      <c r="AH7" s="18">
        <f>'Prix des produits et services '!K7*'Objectifs de ventes (quantité)'!AH7</f>
        <v>0</v>
      </c>
      <c r="AI7" s="18">
        <f>'Prix des produits et services '!L7*'Objectifs de ventes (quantité)'!AI7</f>
        <v>0</v>
      </c>
      <c r="AJ7" s="18">
        <f>'Prix des produits et services '!M7*'Objectifs de ventes (quantité)'!AJ7</f>
        <v>0</v>
      </c>
      <c r="AK7" s="18">
        <f>'Prix des produits et services '!N7*'Objectifs de ventes (quantité)'!AK7</f>
        <v>0</v>
      </c>
      <c r="AL7" s="18">
        <f>'Prix des produits et services '!O7*'Objectifs de ventes (quantité)'!AL7</f>
        <v>0</v>
      </c>
      <c r="AM7" s="18">
        <f>'Prix des produits et services '!P7*'Objectifs de ventes (quantité)'!AM7</f>
        <v>0</v>
      </c>
      <c r="AN7" s="18">
        <f>'Prix des produits et services '!Q7*'Objectifs de ventes (quantité)'!AN7</f>
        <v>0</v>
      </c>
      <c r="AO7" s="99">
        <f t="shared" si="2"/>
        <v>0</v>
      </c>
      <c r="AP7" s="18">
        <f>'Prix des produits et services '!$G$7*'Objectifs de ventes (quantité)'!AP7</f>
        <v>0</v>
      </c>
      <c r="AQ7" s="18">
        <f>'Prix des produits et services '!$G$7*'Objectifs de ventes (quantité)'!AQ7</f>
        <v>0</v>
      </c>
      <c r="AR7" s="18">
        <f>'Prix des produits et services '!$G$7*'Objectifs de ventes (quantité)'!AR7</f>
        <v>0</v>
      </c>
      <c r="AS7" s="18">
        <f>'Prix des produits et services '!$G$7*'Objectifs de ventes (quantité)'!AS7</f>
        <v>0</v>
      </c>
      <c r="AT7" s="18">
        <f>'Prix des produits et services '!$G$7*'Objectifs de ventes (quantité)'!AT7</f>
        <v>0</v>
      </c>
      <c r="AU7" s="18">
        <f>'Prix des produits et services '!$G$7*'Objectifs de ventes (quantité)'!AU7</f>
        <v>0</v>
      </c>
      <c r="AV7" s="18">
        <f>'Prix des produits et services '!$G$7*'Objectifs de ventes (quantité)'!AV7</f>
        <v>0</v>
      </c>
      <c r="AW7" s="18">
        <f>'Prix des produits et services '!$G$7*'Objectifs de ventes (quantité)'!AW7</f>
        <v>0</v>
      </c>
      <c r="AX7" s="18">
        <f>'Prix des produits et services '!$G$7*'Objectifs de ventes (quantité)'!AX7</f>
        <v>0</v>
      </c>
      <c r="AY7" s="18">
        <f>'Prix des produits et services '!$G$7*'Objectifs de ventes (quantité)'!AY7</f>
        <v>0</v>
      </c>
      <c r="AZ7" s="18">
        <f>'Prix des produits et services '!$G$7*'Objectifs de ventes (quantité)'!AZ7</f>
        <v>0</v>
      </c>
      <c r="BA7" s="18">
        <f>'Prix des produits et services '!$G$7*'Objectifs de ventes (quantité)'!BA7</f>
        <v>0</v>
      </c>
      <c r="BB7" s="99">
        <f t="shared" si="3"/>
        <v>0</v>
      </c>
      <c r="BC7" s="18">
        <f>'Prix des produits et services '!$H$7*'Objectifs de ventes (quantité)'!BC7</f>
        <v>0</v>
      </c>
      <c r="BD7" s="18">
        <f>'Prix des produits et services '!$H$7*'Objectifs de ventes (quantité)'!BD7</f>
        <v>0</v>
      </c>
      <c r="BE7" s="18">
        <f>'Prix des produits et services '!$H$7*'Objectifs de ventes (quantité)'!BE7</f>
        <v>0</v>
      </c>
      <c r="BF7" s="18">
        <f>'Prix des produits et services '!$H$7*'Objectifs de ventes (quantité)'!BF7</f>
        <v>0</v>
      </c>
      <c r="BG7" s="18">
        <f>'Prix des produits et services '!$H$7*'Objectifs de ventes (quantité)'!BG7</f>
        <v>0</v>
      </c>
      <c r="BH7" s="18">
        <f>'Prix des produits et services '!$H$7*'Objectifs de ventes (quantité)'!BH7</f>
        <v>0</v>
      </c>
      <c r="BI7" s="18">
        <f>'Prix des produits et services '!$H$7*'Objectifs de ventes (quantité)'!BI7</f>
        <v>0</v>
      </c>
      <c r="BJ7" s="18">
        <f>'Prix des produits et services '!$H$7*'Objectifs de ventes (quantité)'!BJ7</f>
        <v>0</v>
      </c>
      <c r="BK7" s="18">
        <f>'Prix des produits et services '!$H$7*'Objectifs de ventes (quantité)'!BK7</f>
        <v>0</v>
      </c>
      <c r="BL7" s="18">
        <f>'Prix des produits et services '!$H$7*'Objectifs de ventes (quantité)'!BL7</f>
        <v>0</v>
      </c>
      <c r="BM7" s="18">
        <f>'Prix des produits et services '!$H$7*'Objectifs de ventes (quantité)'!BM7</f>
        <v>0</v>
      </c>
      <c r="BN7" s="18">
        <f>'Prix des produits et services '!$H$7*'Objectifs de ventes (quantité)'!BN7</f>
        <v>0</v>
      </c>
      <c r="BO7" s="99">
        <f t="shared" si="4"/>
        <v>0</v>
      </c>
    </row>
    <row r="8" spans="1:67" x14ac:dyDescent="0.3">
      <c r="A8" s="5" t="str">
        <f>'Prix des produits et services '!B8</f>
        <v>Produit ou Service 7</v>
      </c>
      <c r="B8" s="1">
        <f>'Prix des produits et services '!C8</f>
        <v>0</v>
      </c>
      <c r="C8" s="18">
        <f>'Prix des produits et services '!$D$8*'Objectifs de ventes (quantité)'!C8</f>
        <v>0</v>
      </c>
      <c r="D8" s="18">
        <f>'Prix des produits et services '!$D$8*'Objectifs de ventes (quantité)'!D8</f>
        <v>0</v>
      </c>
      <c r="E8" s="18">
        <f>'Prix des produits et services '!$D$8*'Objectifs de ventes (quantité)'!E8</f>
        <v>0</v>
      </c>
      <c r="F8" s="18">
        <f>'Prix des produits et services '!$D$8*'Objectifs de ventes (quantité)'!F8</f>
        <v>0</v>
      </c>
      <c r="G8" s="18">
        <f>'Prix des produits et services '!$D$8*'Objectifs de ventes (quantité)'!G8</f>
        <v>0</v>
      </c>
      <c r="H8" s="18">
        <f>'Prix des produits et services '!$D$8*'Objectifs de ventes (quantité)'!H8</f>
        <v>0</v>
      </c>
      <c r="I8" s="18">
        <f>'Prix des produits et services '!$D$8*'Objectifs de ventes (quantité)'!I8</f>
        <v>0</v>
      </c>
      <c r="J8" s="18">
        <f>'Prix des produits et services '!$D$8*'Objectifs de ventes (quantité)'!J8</f>
        <v>0</v>
      </c>
      <c r="K8" s="18">
        <f>'Prix des produits et services '!$D$8*'Objectifs de ventes (quantité)'!K8</f>
        <v>0</v>
      </c>
      <c r="L8" s="18">
        <f>'Prix des produits et services '!$D$8*'Objectifs de ventes (quantité)'!L8</f>
        <v>0</v>
      </c>
      <c r="M8" s="18">
        <f>'Prix des produits et services '!$D$8*'Objectifs de ventes (quantité)'!M8</f>
        <v>0</v>
      </c>
      <c r="N8" s="18">
        <f>'Prix des produits et services '!$D$8*'Objectifs de ventes (quantité)'!N8</f>
        <v>0</v>
      </c>
      <c r="O8" s="99">
        <f t="shared" si="0"/>
        <v>0</v>
      </c>
      <c r="P8" s="18">
        <f>'Prix des produits et services '!$E$8*'Objectifs de ventes (quantité)'!P8</f>
        <v>0</v>
      </c>
      <c r="Q8" s="18">
        <f>'Prix des produits et services '!$E$8*'Objectifs de ventes (quantité)'!Q8</f>
        <v>0</v>
      </c>
      <c r="R8" s="18">
        <f>'Prix des produits et services '!$E$8*'Objectifs de ventes (quantité)'!R8</f>
        <v>0</v>
      </c>
      <c r="S8" s="18">
        <f>'Prix des produits et services '!$E$8*'Objectifs de ventes (quantité)'!S8</f>
        <v>0</v>
      </c>
      <c r="T8" s="18">
        <f>'Prix des produits et services '!$E$8*'Objectifs de ventes (quantité)'!T8</f>
        <v>0</v>
      </c>
      <c r="U8" s="18">
        <f>'Prix des produits et services '!$E$8*'Objectifs de ventes (quantité)'!U8</f>
        <v>0</v>
      </c>
      <c r="V8" s="18">
        <f>'Prix des produits et services '!$E$8*'Objectifs de ventes (quantité)'!V8</f>
        <v>0</v>
      </c>
      <c r="W8" s="18">
        <f>'Prix des produits et services '!$E$8*'Objectifs de ventes (quantité)'!W8</f>
        <v>0</v>
      </c>
      <c r="X8" s="18">
        <f>'Prix des produits et services '!$E$8*'Objectifs de ventes (quantité)'!X8</f>
        <v>0</v>
      </c>
      <c r="Y8" s="18">
        <f>'Prix des produits et services '!$E$8*'Objectifs de ventes (quantité)'!Y8</f>
        <v>0</v>
      </c>
      <c r="Z8" s="18">
        <f>'Prix des produits et services '!$E$8*'Objectifs de ventes (quantité)'!Z8</f>
        <v>0</v>
      </c>
      <c r="AA8" s="18">
        <f>'Prix des produits et services '!$E$8*'Objectifs de ventes (quantité)'!AA8</f>
        <v>0</v>
      </c>
      <c r="AB8" s="99">
        <f t="shared" si="1"/>
        <v>0</v>
      </c>
      <c r="AC8" s="18">
        <f>'Prix des produits et services '!$F$8*'Objectifs de ventes (quantité)'!AC8</f>
        <v>0</v>
      </c>
      <c r="AD8" s="18">
        <f>'Prix des produits et services '!$F$8*'Objectifs de ventes (quantité)'!AD8</f>
        <v>0</v>
      </c>
      <c r="AE8" s="18">
        <f>'Prix des produits et services '!$F$8*'Objectifs de ventes (quantité)'!AE8</f>
        <v>0</v>
      </c>
      <c r="AF8" s="18">
        <f>'Prix des produits et services '!$F$8*'Objectifs de ventes (quantité)'!AF8</f>
        <v>0</v>
      </c>
      <c r="AG8" s="18">
        <f>'Prix des produits et services '!$F$8*'Objectifs de ventes (quantité)'!AG8</f>
        <v>0</v>
      </c>
      <c r="AH8" s="18">
        <f>'Prix des produits et services '!$F$8*'Objectifs de ventes (quantité)'!AH8</f>
        <v>0</v>
      </c>
      <c r="AI8" s="18">
        <f>'Prix des produits et services '!$F$8*'Objectifs de ventes (quantité)'!AI8</f>
        <v>0</v>
      </c>
      <c r="AJ8" s="18">
        <f>'Prix des produits et services '!$F$8*'Objectifs de ventes (quantité)'!AJ8</f>
        <v>0</v>
      </c>
      <c r="AK8" s="18">
        <f>'Prix des produits et services '!$F$8*'Objectifs de ventes (quantité)'!AK8</f>
        <v>0</v>
      </c>
      <c r="AL8" s="18">
        <f>'Prix des produits et services '!$F$8*'Objectifs de ventes (quantité)'!AL8</f>
        <v>0</v>
      </c>
      <c r="AM8" s="18">
        <f>'Prix des produits et services '!$F$8*'Objectifs de ventes (quantité)'!AM8</f>
        <v>0</v>
      </c>
      <c r="AN8" s="18">
        <f>'Prix des produits et services '!$F$8*'Objectifs de ventes (quantité)'!AN8</f>
        <v>0</v>
      </c>
      <c r="AO8" s="99">
        <f t="shared" si="2"/>
        <v>0</v>
      </c>
      <c r="AP8" s="18">
        <f>'Prix des produits et services '!$G$8*'Objectifs de ventes (quantité)'!AP8</f>
        <v>0</v>
      </c>
      <c r="AQ8" s="18">
        <f>'Prix des produits et services '!$G$8*'Objectifs de ventes (quantité)'!AQ8</f>
        <v>0</v>
      </c>
      <c r="AR8" s="18">
        <f>'Prix des produits et services '!$G$8*'Objectifs de ventes (quantité)'!AR8</f>
        <v>0</v>
      </c>
      <c r="AS8" s="18">
        <f>'Prix des produits et services '!$G$8*'Objectifs de ventes (quantité)'!AS8</f>
        <v>0</v>
      </c>
      <c r="AT8" s="18">
        <f>'Prix des produits et services '!$G$8*'Objectifs de ventes (quantité)'!AT8</f>
        <v>0</v>
      </c>
      <c r="AU8" s="18">
        <f>'Prix des produits et services '!$G$8*'Objectifs de ventes (quantité)'!AU8</f>
        <v>0</v>
      </c>
      <c r="AV8" s="18">
        <f>'Prix des produits et services '!$G$8*'Objectifs de ventes (quantité)'!AV8</f>
        <v>0</v>
      </c>
      <c r="AW8" s="18">
        <f>'Prix des produits et services '!$G$8*'Objectifs de ventes (quantité)'!AW8</f>
        <v>0</v>
      </c>
      <c r="AX8" s="18">
        <f>'Prix des produits et services '!$G$8*'Objectifs de ventes (quantité)'!AX8</f>
        <v>0</v>
      </c>
      <c r="AY8" s="18">
        <f>'Prix des produits et services '!$G$8*'Objectifs de ventes (quantité)'!AY8</f>
        <v>0</v>
      </c>
      <c r="AZ8" s="18">
        <f>'Prix des produits et services '!$G$8*'Objectifs de ventes (quantité)'!AZ8</f>
        <v>0</v>
      </c>
      <c r="BA8" s="18">
        <f>'Prix des produits et services '!$G$8*'Objectifs de ventes (quantité)'!BA8</f>
        <v>0</v>
      </c>
      <c r="BB8" s="99">
        <f t="shared" si="3"/>
        <v>0</v>
      </c>
      <c r="BC8" s="18">
        <f>'Prix des produits et services '!$H$8*'Objectifs de ventes (quantité)'!BC8</f>
        <v>0</v>
      </c>
      <c r="BD8" s="18">
        <f>'Prix des produits et services '!$H$8*'Objectifs de ventes (quantité)'!BD8</f>
        <v>0</v>
      </c>
      <c r="BE8" s="18">
        <f>'Prix des produits et services '!$H$8*'Objectifs de ventes (quantité)'!BE8</f>
        <v>0</v>
      </c>
      <c r="BF8" s="18">
        <f>'Prix des produits et services '!$H$8*'Objectifs de ventes (quantité)'!BF8</f>
        <v>0</v>
      </c>
      <c r="BG8" s="18">
        <f>'Prix des produits et services '!$H$8*'Objectifs de ventes (quantité)'!BG8</f>
        <v>0</v>
      </c>
      <c r="BH8" s="18">
        <f>'Prix des produits et services '!$H$8*'Objectifs de ventes (quantité)'!BH8</f>
        <v>0</v>
      </c>
      <c r="BI8" s="18">
        <f>'Prix des produits et services '!$H$8*'Objectifs de ventes (quantité)'!BI8</f>
        <v>0</v>
      </c>
      <c r="BJ8" s="18">
        <f>'Prix des produits et services '!$H$8*'Objectifs de ventes (quantité)'!BJ8</f>
        <v>0</v>
      </c>
      <c r="BK8" s="18">
        <f>'Prix des produits et services '!$H$8*'Objectifs de ventes (quantité)'!BK8</f>
        <v>0</v>
      </c>
      <c r="BL8" s="18">
        <f>'Prix des produits et services '!$H$8*'Objectifs de ventes (quantité)'!BL8</f>
        <v>0</v>
      </c>
      <c r="BM8" s="18">
        <f>'Prix des produits et services '!$H$8*'Objectifs de ventes (quantité)'!BM8</f>
        <v>0</v>
      </c>
      <c r="BN8" s="18">
        <f>'Prix des produits et services '!$H$8*'Objectifs de ventes (quantité)'!BN8</f>
        <v>0</v>
      </c>
      <c r="BO8" s="99">
        <f t="shared" si="4"/>
        <v>0</v>
      </c>
    </row>
    <row r="9" spans="1:67" x14ac:dyDescent="0.3">
      <c r="A9" s="5" t="str">
        <f>'Prix des produits et services '!B9</f>
        <v>Produit ou Service 8</v>
      </c>
      <c r="B9" s="1">
        <f>'Prix des produits et services '!C9</f>
        <v>0</v>
      </c>
      <c r="C9" s="18">
        <f>'Prix des produits et services '!$D$9*'Objectifs de ventes (quantité)'!C9</f>
        <v>0</v>
      </c>
      <c r="D9" s="18">
        <f>'Prix des produits et services '!$D$9*'Objectifs de ventes (quantité)'!D9</f>
        <v>0</v>
      </c>
      <c r="E9" s="18">
        <f>'Prix des produits et services '!$D$9*'Objectifs de ventes (quantité)'!E9</f>
        <v>0</v>
      </c>
      <c r="F9" s="18">
        <f>'Prix des produits et services '!$D$9*'Objectifs de ventes (quantité)'!F9</f>
        <v>0</v>
      </c>
      <c r="G9" s="18">
        <f>'Prix des produits et services '!$D$9*'Objectifs de ventes (quantité)'!G9</f>
        <v>0</v>
      </c>
      <c r="H9" s="18">
        <f>'Prix des produits et services '!$D$9*'Objectifs de ventes (quantité)'!H9</f>
        <v>0</v>
      </c>
      <c r="I9" s="18">
        <f>'Prix des produits et services '!$D$9*'Objectifs de ventes (quantité)'!I9</f>
        <v>0</v>
      </c>
      <c r="J9" s="18">
        <f>'Prix des produits et services '!$D$9*'Objectifs de ventes (quantité)'!J9</f>
        <v>0</v>
      </c>
      <c r="K9" s="18">
        <f>'Prix des produits et services '!$D$9*'Objectifs de ventes (quantité)'!K9</f>
        <v>0</v>
      </c>
      <c r="L9" s="18">
        <f>'Prix des produits et services '!$D$9*'Objectifs de ventes (quantité)'!L9</f>
        <v>0</v>
      </c>
      <c r="M9" s="18">
        <f>'Prix des produits et services '!$D$9*'Objectifs de ventes (quantité)'!M9</f>
        <v>0</v>
      </c>
      <c r="N9" s="18">
        <f>'Prix des produits et services '!$D$9*'Objectifs de ventes (quantité)'!N9</f>
        <v>0</v>
      </c>
      <c r="O9" s="99">
        <f t="shared" si="0"/>
        <v>0</v>
      </c>
      <c r="P9" s="18">
        <f>'Prix des produits et services '!$E$9*'Objectifs de ventes (quantité)'!P9</f>
        <v>0</v>
      </c>
      <c r="Q9" s="18">
        <f>'Prix des produits et services '!$E$9*'Objectifs de ventes (quantité)'!Q9</f>
        <v>0</v>
      </c>
      <c r="R9" s="18">
        <f>'Prix des produits et services '!$E$9*'Objectifs de ventes (quantité)'!R9</f>
        <v>0</v>
      </c>
      <c r="S9" s="18">
        <f>'Prix des produits et services '!$E$9*'Objectifs de ventes (quantité)'!S9</f>
        <v>0</v>
      </c>
      <c r="T9" s="18">
        <f>'Prix des produits et services '!$E$9*'Objectifs de ventes (quantité)'!T9</f>
        <v>0</v>
      </c>
      <c r="U9" s="18">
        <f>'Prix des produits et services '!$E$9*'Objectifs de ventes (quantité)'!U9</f>
        <v>0</v>
      </c>
      <c r="V9" s="18">
        <f>'Prix des produits et services '!$E$9*'Objectifs de ventes (quantité)'!V9</f>
        <v>0</v>
      </c>
      <c r="W9" s="18">
        <f>'Prix des produits et services '!$E$9*'Objectifs de ventes (quantité)'!W9</f>
        <v>0</v>
      </c>
      <c r="X9" s="18">
        <f>'Prix des produits et services '!$E$9*'Objectifs de ventes (quantité)'!X9</f>
        <v>0</v>
      </c>
      <c r="Y9" s="18">
        <f>'Prix des produits et services '!$E$9*'Objectifs de ventes (quantité)'!Y9</f>
        <v>0</v>
      </c>
      <c r="Z9" s="18">
        <f>'Prix des produits et services '!$E$9*'Objectifs de ventes (quantité)'!Z9</f>
        <v>0</v>
      </c>
      <c r="AA9" s="18">
        <f>'Prix des produits et services '!$E$9*'Objectifs de ventes (quantité)'!AA9</f>
        <v>0</v>
      </c>
      <c r="AB9" s="99">
        <f t="shared" si="1"/>
        <v>0</v>
      </c>
      <c r="AC9" s="18">
        <f>'Prix des produits et services '!$F$9*'Objectifs de ventes (quantité)'!AC9</f>
        <v>0</v>
      </c>
      <c r="AD9" s="18">
        <f>'Prix des produits et services '!$F$9*'Objectifs de ventes (quantité)'!AD9</f>
        <v>0</v>
      </c>
      <c r="AE9" s="18">
        <f>'Prix des produits et services '!$F$9*'Objectifs de ventes (quantité)'!AE9</f>
        <v>0</v>
      </c>
      <c r="AF9" s="18">
        <f>'Prix des produits et services '!$F$9*'Objectifs de ventes (quantité)'!AF9</f>
        <v>0</v>
      </c>
      <c r="AG9" s="18">
        <f>'Prix des produits et services '!$F$9*'Objectifs de ventes (quantité)'!AG9</f>
        <v>0</v>
      </c>
      <c r="AH9" s="18">
        <f>'Prix des produits et services '!$F$9*'Objectifs de ventes (quantité)'!AH9</f>
        <v>0</v>
      </c>
      <c r="AI9" s="18">
        <f>'Prix des produits et services '!$F$9*'Objectifs de ventes (quantité)'!AI9</f>
        <v>0</v>
      </c>
      <c r="AJ9" s="18">
        <f>'Prix des produits et services '!$F$9*'Objectifs de ventes (quantité)'!AJ9</f>
        <v>0</v>
      </c>
      <c r="AK9" s="18">
        <f>'Prix des produits et services '!$F$9*'Objectifs de ventes (quantité)'!AK9</f>
        <v>0</v>
      </c>
      <c r="AL9" s="18">
        <f>'Prix des produits et services '!$F$9*'Objectifs de ventes (quantité)'!AL9</f>
        <v>0</v>
      </c>
      <c r="AM9" s="18">
        <f>'Prix des produits et services '!$F$9*'Objectifs de ventes (quantité)'!AM9</f>
        <v>0</v>
      </c>
      <c r="AN9" s="18">
        <f>'Prix des produits et services '!$F$9*'Objectifs de ventes (quantité)'!AN9</f>
        <v>0</v>
      </c>
      <c r="AO9" s="99">
        <f t="shared" si="2"/>
        <v>0</v>
      </c>
      <c r="AP9" s="18">
        <f>'Prix des produits et services '!$G$9*'Objectifs de ventes (quantité)'!AP9</f>
        <v>0</v>
      </c>
      <c r="AQ9" s="18">
        <f>'Prix des produits et services '!$G$9*'Objectifs de ventes (quantité)'!AQ9</f>
        <v>0</v>
      </c>
      <c r="AR9" s="18">
        <f>'Prix des produits et services '!$G$9*'Objectifs de ventes (quantité)'!AR9</f>
        <v>0</v>
      </c>
      <c r="AS9" s="18">
        <f>'Prix des produits et services '!$G$9*'Objectifs de ventes (quantité)'!AS9</f>
        <v>0</v>
      </c>
      <c r="AT9" s="18">
        <f>'Prix des produits et services '!$G$9*'Objectifs de ventes (quantité)'!AT9</f>
        <v>0</v>
      </c>
      <c r="AU9" s="18">
        <f>'Prix des produits et services '!$G$9*'Objectifs de ventes (quantité)'!AU9</f>
        <v>0</v>
      </c>
      <c r="AV9" s="18">
        <f>'Prix des produits et services '!$G$9*'Objectifs de ventes (quantité)'!AV9</f>
        <v>0</v>
      </c>
      <c r="AW9" s="18">
        <f>'Prix des produits et services '!$G$9*'Objectifs de ventes (quantité)'!AW9</f>
        <v>0</v>
      </c>
      <c r="AX9" s="18">
        <f>'Prix des produits et services '!$G$9*'Objectifs de ventes (quantité)'!AX9</f>
        <v>0</v>
      </c>
      <c r="AY9" s="18">
        <f>'Prix des produits et services '!$G$9*'Objectifs de ventes (quantité)'!AY9</f>
        <v>0</v>
      </c>
      <c r="AZ9" s="18">
        <f>'Prix des produits et services '!$G$9*'Objectifs de ventes (quantité)'!AZ9</f>
        <v>0</v>
      </c>
      <c r="BA9" s="18">
        <f>'Prix des produits et services '!$G$9*'Objectifs de ventes (quantité)'!BA9</f>
        <v>0</v>
      </c>
      <c r="BB9" s="99">
        <f t="shared" si="3"/>
        <v>0</v>
      </c>
      <c r="BC9" s="18">
        <f>'Prix des produits et services '!$H$9*'Objectifs de ventes (quantité)'!BC9</f>
        <v>0</v>
      </c>
      <c r="BD9" s="18">
        <f>'Prix des produits et services '!$H$9*'Objectifs de ventes (quantité)'!BD9</f>
        <v>0</v>
      </c>
      <c r="BE9" s="18">
        <f>'Prix des produits et services '!$H$9*'Objectifs de ventes (quantité)'!BE9</f>
        <v>0</v>
      </c>
      <c r="BF9" s="18">
        <f>'Prix des produits et services '!$H$9*'Objectifs de ventes (quantité)'!BF9</f>
        <v>0</v>
      </c>
      <c r="BG9" s="18">
        <f>'Prix des produits et services '!$H$9*'Objectifs de ventes (quantité)'!BG9</f>
        <v>0</v>
      </c>
      <c r="BH9" s="18">
        <f>'Prix des produits et services '!$H$9*'Objectifs de ventes (quantité)'!BH9</f>
        <v>0</v>
      </c>
      <c r="BI9" s="18">
        <f>'Prix des produits et services '!$H$9*'Objectifs de ventes (quantité)'!BI9</f>
        <v>0</v>
      </c>
      <c r="BJ9" s="18">
        <f>'Prix des produits et services '!$H$9*'Objectifs de ventes (quantité)'!BJ9</f>
        <v>0</v>
      </c>
      <c r="BK9" s="18">
        <f>'Prix des produits et services '!$H$9*'Objectifs de ventes (quantité)'!BK9</f>
        <v>0</v>
      </c>
      <c r="BL9" s="18">
        <f>'Prix des produits et services '!$H$9*'Objectifs de ventes (quantité)'!BL9</f>
        <v>0</v>
      </c>
      <c r="BM9" s="18">
        <f>'Prix des produits et services '!$H$9*'Objectifs de ventes (quantité)'!BM9</f>
        <v>0</v>
      </c>
      <c r="BN9" s="18">
        <f>'Prix des produits et services '!$H$9*'Objectifs de ventes (quantité)'!BN9</f>
        <v>0</v>
      </c>
      <c r="BO9" s="99">
        <f t="shared" si="4"/>
        <v>0</v>
      </c>
    </row>
    <row r="10" spans="1:67" x14ac:dyDescent="0.3">
      <c r="A10" s="5" t="str">
        <f>'Prix des produits et services '!B10</f>
        <v>Produit ou Service 9</v>
      </c>
      <c r="B10" s="1">
        <f>'Prix des produits et services '!C10</f>
        <v>0</v>
      </c>
      <c r="C10" s="18">
        <f>'Prix des produits et services '!$D$10*'Objectifs de ventes (quantité)'!C10</f>
        <v>0</v>
      </c>
      <c r="D10" s="18">
        <f>'Prix des produits et services '!$D$10*'Objectifs de ventes (quantité)'!D10</f>
        <v>0</v>
      </c>
      <c r="E10" s="18">
        <f>'Prix des produits et services '!$D$10*'Objectifs de ventes (quantité)'!E10</f>
        <v>0</v>
      </c>
      <c r="F10" s="18">
        <f>'Prix des produits et services '!$D$10*'Objectifs de ventes (quantité)'!F10</f>
        <v>0</v>
      </c>
      <c r="G10" s="18">
        <f>'Prix des produits et services '!$D$10*'Objectifs de ventes (quantité)'!G10</f>
        <v>0</v>
      </c>
      <c r="H10" s="18">
        <f>'Prix des produits et services '!$D$10*'Objectifs de ventes (quantité)'!H10</f>
        <v>0</v>
      </c>
      <c r="I10" s="18">
        <f>'Prix des produits et services '!$D$10*'Objectifs de ventes (quantité)'!I10</f>
        <v>0</v>
      </c>
      <c r="J10" s="18">
        <f>'Prix des produits et services '!$D$10*'Objectifs de ventes (quantité)'!J10</f>
        <v>0</v>
      </c>
      <c r="K10" s="18">
        <f>'Prix des produits et services '!$D$10*'Objectifs de ventes (quantité)'!K10</f>
        <v>0</v>
      </c>
      <c r="L10" s="18">
        <f>'Prix des produits et services '!$D$10*'Objectifs de ventes (quantité)'!L10</f>
        <v>0</v>
      </c>
      <c r="M10" s="18">
        <f>'Prix des produits et services '!$D$10*'Objectifs de ventes (quantité)'!M10</f>
        <v>0</v>
      </c>
      <c r="N10" s="18">
        <f>'Prix des produits et services '!$D$10*'Objectifs de ventes (quantité)'!N10</f>
        <v>0</v>
      </c>
      <c r="O10" s="99">
        <f t="shared" si="0"/>
        <v>0</v>
      </c>
      <c r="P10" s="18">
        <f>'Prix des produits et services '!$E$10*'Objectifs de ventes (quantité)'!P10</f>
        <v>0</v>
      </c>
      <c r="Q10" s="18">
        <f>'Prix des produits et services '!$E$10*'Objectifs de ventes (quantité)'!Q10</f>
        <v>0</v>
      </c>
      <c r="R10" s="18">
        <f>'Prix des produits et services '!$E$10*'Objectifs de ventes (quantité)'!R10</f>
        <v>0</v>
      </c>
      <c r="S10" s="18">
        <f>'Prix des produits et services '!$E$10*'Objectifs de ventes (quantité)'!S10</f>
        <v>0</v>
      </c>
      <c r="T10" s="18">
        <f>'Prix des produits et services '!$E$10*'Objectifs de ventes (quantité)'!T10</f>
        <v>0</v>
      </c>
      <c r="U10" s="18">
        <f>'Prix des produits et services '!$E$10*'Objectifs de ventes (quantité)'!U10</f>
        <v>0</v>
      </c>
      <c r="V10" s="18">
        <f>'Prix des produits et services '!$E$10*'Objectifs de ventes (quantité)'!V10</f>
        <v>0</v>
      </c>
      <c r="W10" s="18">
        <f>'Prix des produits et services '!$E$10*'Objectifs de ventes (quantité)'!W10</f>
        <v>0</v>
      </c>
      <c r="X10" s="18">
        <f>'Prix des produits et services '!$E$10*'Objectifs de ventes (quantité)'!X10</f>
        <v>0</v>
      </c>
      <c r="Y10" s="18">
        <f>'Prix des produits et services '!$E$10*'Objectifs de ventes (quantité)'!Y10</f>
        <v>0</v>
      </c>
      <c r="Z10" s="18">
        <f>'Prix des produits et services '!$E$10*'Objectifs de ventes (quantité)'!Z10</f>
        <v>0</v>
      </c>
      <c r="AA10" s="18">
        <f>'Prix des produits et services '!$E$10*'Objectifs de ventes (quantité)'!AA10</f>
        <v>0</v>
      </c>
      <c r="AB10" s="99">
        <f t="shared" si="1"/>
        <v>0</v>
      </c>
      <c r="AC10" s="18">
        <f>'Prix des produits et services '!$F$10*'Objectifs de ventes (quantité)'!AC10</f>
        <v>0</v>
      </c>
      <c r="AD10" s="18">
        <f>'Prix des produits et services '!$F$10*'Objectifs de ventes (quantité)'!AD10</f>
        <v>0</v>
      </c>
      <c r="AE10" s="18">
        <f>'Prix des produits et services '!$F$10*'Objectifs de ventes (quantité)'!AE10</f>
        <v>0</v>
      </c>
      <c r="AF10" s="18">
        <f>'Prix des produits et services '!$F$10*'Objectifs de ventes (quantité)'!AF10</f>
        <v>0</v>
      </c>
      <c r="AG10" s="18">
        <f>'Prix des produits et services '!$F$10*'Objectifs de ventes (quantité)'!AG10</f>
        <v>0</v>
      </c>
      <c r="AH10" s="18">
        <f>'Prix des produits et services '!$F$10*'Objectifs de ventes (quantité)'!AH10</f>
        <v>0</v>
      </c>
      <c r="AI10" s="18">
        <f>'Prix des produits et services '!$F$10*'Objectifs de ventes (quantité)'!AI10</f>
        <v>0</v>
      </c>
      <c r="AJ10" s="18">
        <f>'Prix des produits et services '!$F$10*'Objectifs de ventes (quantité)'!AJ10</f>
        <v>0</v>
      </c>
      <c r="AK10" s="18">
        <f>'Prix des produits et services '!$F$10*'Objectifs de ventes (quantité)'!AK10</f>
        <v>0</v>
      </c>
      <c r="AL10" s="18">
        <f>'Prix des produits et services '!$F$10*'Objectifs de ventes (quantité)'!AL10</f>
        <v>0</v>
      </c>
      <c r="AM10" s="18">
        <f>'Prix des produits et services '!$F$10*'Objectifs de ventes (quantité)'!AM10</f>
        <v>0</v>
      </c>
      <c r="AN10" s="18">
        <f>'Prix des produits et services '!$F$10*'Objectifs de ventes (quantité)'!AN10</f>
        <v>0</v>
      </c>
      <c r="AO10" s="99">
        <f t="shared" si="2"/>
        <v>0</v>
      </c>
      <c r="AP10" s="18">
        <f>'Prix des produits et services '!$G$10*'Objectifs de ventes (quantité)'!AP10</f>
        <v>0</v>
      </c>
      <c r="AQ10" s="18">
        <f>'Prix des produits et services '!$G$10*'Objectifs de ventes (quantité)'!AQ10</f>
        <v>0</v>
      </c>
      <c r="AR10" s="18">
        <f>'Prix des produits et services '!$G$10*'Objectifs de ventes (quantité)'!AR10</f>
        <v>0</v>
      </c>
      <c r="AS10" s="18">
        <f>'Prix des produits et services '!$G$10*'Objectifs de ventes (quantité)'!AS10</f>
        <v>0</v>
      </c>
      <c r="AT10" s="18">
        <f>'Prix des produits et services '!$G$10*'Objectifs de ventes (quantité)'!AT10</f>
        <v>0</v>
      </c>
      <c r="AU10" s="18">
        <f>'Prix des produits et services '!$G$10*'Objectifs de ventes (quantité)'!AU10</f>
        <v>0</v>
      </c>
      <c r="AV10" s="18">
        <f>'Prix des produits et services '!$G$10*'Objectifs de ventes (quantité)'!AV10</f>
        <v>0</v>
      </c>
      <c r="AW10" s="18">
        <f>'Prix des produits et services '!$G$10*'Objectifs de ventes (quantité)'!AW10</f>
        <v>0</v>
      </c>
      <c r="AX10" s="18">
        <f>'Prix des produits et services '!$G$10*'Objectifs de ventes (quantité)'!AX10</f>
        <v>0</v>
      </c>
      <c r="AY10" s="18">
        <f>'Prix des produits et services '!$G$10*'Objectifs de ventes (quantité)'!AY10</f>
        <v>0</v>
      </c>
      <c r="AZ10" s="18">
        <f>'Prix des produits et services '!$G$10*'Objectifs de ventes (quantité)'!AZ10</f>
        <v>0</v>
      </c>
      <c r="BA10" s="18">
        <f>'Prix des produits et services '!$G$10*'Objectifs de ventes (quantité)'!BA10</f>
        <v>0</v>
      </c>
      <c r="BB10" s="99">
        <f t="shared" si="3"/>
        <v>0</v>
      </c>
      <c r="BC10" s="18">
        <f>'Prix des produits et services '!$H$10*'Objectifs de ventes (quantité)'!BC10</f>
        <v>0</v>
      </c>
      <c r="BD10" s="18">
        <f>'Prix des produits et services '!$H$10*'Objectifs de ventes (quantité)'!BD10</f>
        <v>0</v>
      </c>
      <c r="BE10" s="18">
        <f>'Prix des produits et services '!$H$10*'Objectifs de ventes (quantité)'!BE10</f>
        <v>0</v>
      </c>
      <c r="BF10" s="18">
        <f>'Prix des produits et services '!$H$10*'Objectifs de ventes (quantité)'!BF10</f>
        <v>0</v>
      </c>
      <c r="BG10" s="18">
        <f>'Prix des produits et services '!$H$10*'Objectifs de ventes (quantité)'!BG10</f>
        <v>0</v>
      </c>
      <c r="BH10" s="18">
        <f>'Prix des produits et services '!$H$10*'Objectifs de ventes (quantité)'!BH10</f>
        <v>0</v>
      </c>
      <c r="BI10" s="18">
        <f>'Prix des produits et services '!$H$10*'Objectifs de ventes (quantité)'!BI10</f>
        <v>0</v>
      </c>
      <c r="BJ10" s="18">
        <f>'Prix des produits et services '!$H$10*'Objectifs de ventes (quantité)'!BJ10</f>
        <v>0</v>
      </c>
      <c r="BK10" s="18">
        <f>'Prix des produits et services '!$H$10*'Objectifs de ventes (quantité)'!BK10</f>
        <v>0</v>
      </c>
      <c r="BL10" s="18">
        <f>'Prix des produits et services '!$H$10*'Objectifs de ventes (quantité)'!BL10</f>
        <v>0</v>
      </c>
      <c r="BM10" s="18">
        <f>'Prix des produits et services '!$H$10*'Objectifs de ventes (quantité)'!BM10</f>
        <v>0</v>
      </c>
      <c r="BN10" s="18">
        <f>'Prix des produits et services '!$H$10*'Objectifs de ventes (quantité)'!BN10</f>
        <v>0</v>
      </c>
      <c r="BO10" s="99">
        <f t="shared" si="4"/>
        <v>0</v>
      </c>
    </row>
    <row r="11" spans="1:67" x14ac:dyDescent="0.3">
      <c r="A11" s="5" t="str">
        <f>'Prix des produits et services '!B11</f>
        <v>Produit ou Service 10</v>
      </c>
      <c r="B11" s="1">
        <f>'Prix des produits et services '!C11</f>
        <v>0</v>
      </c>
      <c r="C11" s="18">
        <f>'Prix des produits et services '!$D$11*'Objectifs de ventes (quantité)'!C11</f>
        <v>0</v>
      </c>
      <c r="D11" s="18">
        <f>'Prix des produits et services '!$D$11*'Objectifs de ventes (quantité)'!D11</f>
        <v>0</v>
      </c>
      <c r="E11" s="18">
        <f>'Prix des produits et services '!$D$11*'Objectifs de ventes (quantité)'!E11</f>
        <v>0</v>
      </c>
      <c r="F11" s="18">
        <f>'Prix des produits et services '!$D$11*'Objectifs de ventes (quantité)'!F11</f>
        <v>0</v>
      </c>
      <c r="G11" s="18">
        <f>'Prix des produits et services '!$D$11*'Objectifs de ventes (quantité)'!G11</f>
        <v>0</v>
      </c>
      <c r="H11" s="18">
        <f>'Prix des produits et services '!$D$11*'Objectifs de ventes (quantité)'!H11</f>
        <v>0</v>
      </c>
      <c r="I11" s="18">
        <f>'Prix des produits et services '!$D$11*'Objectifs de ventes (quantité)'!I11</f>
        <v>0</v>
      </c>
      <c r="J11" s="18">
        <f>'Prix des produits et services '!$D$11*'Objectifs de ventes (quantité)'!J11</f>
        <v>0</v>
      </c>
      <c r="K11" s="18">
        <f>'Prix des produits et services '!$D$11*'Objectifs de ventes (quantité)'!K11</f>
        <v>0</v>
      </c>
      <c r="L11" s="18">
        <f>'Prix des produits et services '!$D$11*'Objectifs de ventes (quantité)'!L11</f>
        <v>0</v>
      </c>
      <c r="M11" s="18">
        <f>'Prix des produits et services '!$D$11*'Objectifs de ventes (quantité)'!M11</f>
        <v>0</v>
      </c>
      <c r="N11" s="18">
        <f>'Prix des produits et services '!$D$11*'Objectifs de ventes (quantité)'!N11</f>
        <v>0</v>
      </c>
      <c r="O11" s="99">
        <f t="shared" si="0"/>
        <v>0</v>
      </c>
      <c r="P11" s="18">
        <f>'Prix des produits et services '!$E$11*'Objectifs de ventes (quantité)'!P11</f>
        <v>0</v>
      </c>
      <c r="Q11" s="18">
        <f>'Prix des produits et services '!$E$11*'Objectifs de ventes (quantité)'!Q11</f>
        <v>0</v>
      </c>
      <c r="R11" s="18">
        <f>'Prix des produits et services '!$E$11*'Objectifs de ventes (quantité)'!R11</f>
        <v>0</v>
      </c>
      <c r="S11" s="18">
        <f>'Prix des produits et services '!$E$11*'Objectifs de ventes (quantité)'!S11</f>
        <v>0</v>
      </c>
      <c r="T11" s="18">
        <f>'Prix des produits et services '!$E$11*'Objectifs de ventes (quantité)'!T11</f>
        <v>0</v>
      </c>
      <c r="U11" s="18">
        <f>'Prix des produits et services '!$E$11*'Objectifs de ventes (quantité)'!U11</f>
        <v>0</v>
      </c>
      <c r="V11" s="18">
        <f>'Prix des produits et services '!$E$11*'Objectifs de ventes (quantité)'!V11</f>
        <v>0</v>
      </c>
      <c r="W11" s="18">
        <f>'Prix des produits et services '!$E$11*'Objectifs de ventes (quantité)'!W11</f>
        <v>0</v>
      </c>
      <c r="X11" s="18">
        <f>'Prix des produits et services '!$E$11*'Objectifs de ventes (quantité)'!X11</f>
        <v>0</v>
      </c>
      <c r="Y11" s="18">
        <f>'Prix des produits et services '!$E$11*'Objectifs de ventes (quantité)'!Y11</f>
        <v>0</v>
      </c>
      <c r="Z11" s="18">
        <f>'Prix des produits et services '!$E$11*'Objectifs de ventes (quantité)'!Z11</f>
        <v>0</v>
      </c>
      <c r="AA11" s="18">
        <f>'Prix des produits et services '!$E$11*'Objectifs de ventes (quantité)'!AA11</f>
        <v>0</v>
      </c>
      <c r="AB11" s="99">
        <f t="shared" si="1"/>
        <v>0</v>
      </c>
      <c r="AC11" s="18">
        <f>'Prix des produits et services '!$F$11*'Objectifs de ventes (quantité)'!AC11</f>
        <v>0</v>
      </c>
      <c r="AD11" s="18">
        <f>'Prix des produits et services '!$F$11*'Objectifs de ventes (quantité)'!AD11</f>
        <v>0</v>
      </c>
      <c r="AE11" s="18">
        <f>'Prix des produits et services '!$F$11*'Objectifs de ventes (quantité)'!AE11</f>
        <v>0</v>
      </c>
      <c r="AF11" s="18">
        <f>'Prix des produits et services '!$F$11*'Objectifs de ventes (quantité)'!AF11</f>
        <v>0</v>
      </c>
      <c r="AG11" s="18">
        <f>'Prix des produits et services '!$F$11*'Objectifs de ventes (quantité)'!AG11</f>
        <v>0</v>
      </c>
      <c r="AH11" s="18">
        <f>'Prix des produits et services '!$F$11*'Objectifs de ventes (quantité)'!AH11</f>
        <v>0</v>
      </c>
      <c r="AI11" s="18">
        <f>'Prix des produits et services '!$F$11*'Objectifs de ventes (quantité)'!AI11</f>
        <v>0</v>
      </c>
      <c r="AJ11" s="18">
        <f>'Prix des produits et services '!$F$11*'Objectifs de ventes (quantité)'!AJ11</f>
        <v>0</v>
      </c>
      <c r="AK11" s="18">
        <f>'Prix des produits et services '!$F$11*'Objectifs de ventes (quantité)'!AK11</f>
        <v>0</v>
      </c>
      <c r="AL11" s="18">
        <f>'Prix des produits et services '!$F$11*'Objectifs de ventes (quantité)'!AL11</f>
        <v>0</v>
      </c>
      <c r="AM11" s="18">
        <f>'Prix des produits et services '!$F$11*'Objectifs de ventes (quantité)'!AM11</f>
        <v>0</v>
      </c>
      <c r="AN11" s="18">
        <f>'Prix des produits et services '!$F$11*'Objectifs de ventes (quantité)'!AN11</f>
        <v>0</v>
      </c>
      <c r="AO11" s="99">
        <f t="shared" si="2"/>
        <v>0</v>
      </c>
      <c r="AP11" s="18">
        <f>'Prix des produits et services '!$G$11*'Objectifs de ventes (quantité)'!AP11</f>
        <v>0</v>
      </c>
      <c r="AQ11" s="18">
        <f>'Prix des produits et services '!$G$11*'Objectifs de ventes (quantité)'!AQ11</f>
        <v>0</v>
      </c>
      <c r="AR11" s="18">
        <f>'Prix des produits et services '!$G$11*'Objectifs de ventes (quantité)'!AR11</f>
        <v>0</v>
      </c>
      <c r="AS11" s="18">
        <f>'Prix des produits et services '!$G$11*'Objectifs de ventes (quantité)'!AS11</f>
        <v>0</v>
      </c>
      <c r="AT11" s="18">
        <f>'Prix des produits et services '!$G$11*'Objectifs de ventes (quantité)'!AT11</f>
        <v>0</v>
      </c>
      <c r="AU11" s="18">
        <f>'Prix des produits et services '!$G$11*'Objectifs de ventes (quantité)'!AU11</f>
        <v>0</v>
      </c>
      <c r="AV11" s="18">
        <f>'Prix des produits et services '!$G$11*'Objectifs de ventes (quantité)'!AV11</f>
        <v>0</v>
      </c>
      <c r="AW11" s="18">
        <f>'Prix des produits et services '!$G$11*'Objectifs de ventes (quantité)'!AW11</f>
        <v>0</v>
      </c>
      <c r="AX11" s="18">
        <f>'Prix des produits et services '!$G$11*'Objectifs de ventes (quantité)'!AX11</f>
        <v>0</v>
      </c>
      <c r="AY11" s="18">
        <f>'Prix des produits et services '!$G$11*'Objectifs de ventes (quantité)'!AY11</f>
        <v>0</v>
      </c>
      <c r="AZ11" s="18">
        <f>'Prix des produits et services '!$G$11*'Objectifs de ventes (quantité)'!AZ11</f>
        <v>0</v>
      </c>
      <c r="BA11" s="18">
        <f>'Prix des produits et services '!$G$11*'Objectifs de ventes (quantité)'!BA11</f>
        <v>0</v>
      </c>
      <c r="BB11" s="99">
        <f t="shared" si="3"/>
        <v>0</v>
      </c>
      <c r="BC11" s="18">
        <f>'Prix des produits et services '!$H$11*'Objectifs de ventes (quantité)'!BC11</f>
        <v>0</v>
      </c>
      <c r="BD11" s="18">
        <f>'Prix des produits et services '!$H$11*'Objectifs de ventes (quantité)'!BD11</f>
        <v>0</v>
      </c>
      <c r="BE11" s="18">
        <f>'Prix des produits et services '!$H$11*'Objectifs de ventes (quantité)'!BE11</f>
        <v>0</v>
      </c>
      <c r="BF11" s="18">
        <f>'Prix des produits et services '!$H$11*'Objectifs de ventes (quantité)'!BF11</f>
        <v>0</v>
      </c>
      <c r="BG11" s="18">
        <f>'Prix des produits et services '!$H$11*'Objectifs de ventes (quantité)'!BG11</f>
        <v>0</v>
      </c>
      <c r="BH11" s="18">
        <f>'Prix des produits et services '!$H$11*'Objectifs de ventes (quantité)'!BH11</f>
        <v>0</v>
      </c>
      <c r="BI11" s="18">
        <f>'Prix des produits et services '!$H$11*'Objectifs de ventes (quantité)'!BI11</f>
        <v>0</v>
      </c>
      <c r="BJ11" s="18">
        <f>'Prix des produits et services '!$H$11*'Objectifs de ventes (quantité)'!BJ11</f>
        <v>0</v>
      </c>
      <c r="BK11" s="18">
        <f>'Prix des produits et services '!$H$11*'Objectifs de ventes (quantité)'!BK11</f>
        <v>0</v>
      </c>
      <c r="BL11" s="18">
        <f>'Prix des produits et services '!$H$11*'Objectifs de ventes (quantité)'!BL11</f>
        <v>0</v>
      </c>
      <c r="BM11" s="18">
        <f>'Prix des produits et services '!$H$11*'Objectifs de ventes (quantité)'!BM11</f>
        <v>0</v>
      </c>
      <c r="BN11" s="18">
        <f>'Prix des produits et services '!$H$11*'Objectifs de ventes (quantité)'!BN11</f>
        <v>0</v>
      </c>
      <c r="BO11" s="99">
        <f t="shared" si="4"/>
        <v>0</v>
      </c>
    </row>
    <row r="12" spans="1:67" x14ac:dyDescent="0.3">
      <c r="A12" s="5" t="str">
        <f>'Prix des produits et services '!B12</f>
        <v>Produit ou Service 11</v>
      </c>
      <c r="B12" s="1">
        <f>'Prix des produits et services '!C12</f>
        <v>0</v>
      </c>
      <c r="C12" s="18">
        <f>'Prix des produits et services '!$D$12*'Objectifs de ventes (quantité)'!C12</f>
        <v>0</v>
      </c>
      <c r="D12" s="18">
        <f>'Prix des produits et services '!$D$12*'Objectifs de ventes (quantité)'!D12</f>
        <v>0</v>
      </c>
      <c r="E12" s="18">
        <f>'Prix des produits et services '!$D$12*'Objectifs de ventes (quantité)'!E12</f>
        <v>0</v>
      </c>
      <c r="F12" s="18">
        <f>'Prix des produits et services '!$D$12*'Objectifs de ventes (quantité)'!F12</f>
        <v>0</v>
      </c>
      <c r="G12" s="18">
        <f>'Prix des produits et services '!$D$12*'Objectifs de ventes (quantité)'!G12</f>
        <v>0</v>
      </c>
      <c r="H12" s="18">
        <f>'Prix des produits et services '!$D$12*'Objectifs de ventes (quantité)'!H12</f>
        <v>0</v>
      </c>
      <c r="I12" s="18">
        <f>'Prix des produits et services '!$D$12*'Objectifs de ventes (quantité)'!I12</f>
        <v>0</v>
      </c>
      <c r="J12" s="18">
        <f>'Prix des produits et services '!$D$12*'Objectifs de ventes (quantité)'!J12</f>
        <v>0</v>
      </c>
      <c r="K12" s="18">
        <f>'Prix des produits et services '!$D$12*'Objectifs de ventes (quantité)'!K12</f>
        <v>0</v>
      </c>
      <c r="L12" s="18">
        <f>'Prix des produits et services '!$D$12*'Objectifs de ventes (quantité)'!L12</f>
        <v>0</v>
      </c>
      <c r="M12" s="18">
        <f>'Prix des produits et services '!$D$12*'Objectifs de ventes (quantité)'!M12</f>
        <v>0</v>
      </c>
      <c r="N12" s="18">
        <f>'Prix des produits et services '!$D$12*'Objectifs de ventes (quantité)'!N12</f>
        <v>0</v>
      </c>
      <c r="O12" s="99">
        <f t="shared" si="0"/>
        <v>0</v>
      </c>
      <c r="P12" s="18">
        <f>'Prix des produits et services '!$E$12*'Objectifs de ventes (quantité)'!P12</f>
        <v>0</v>
      </c>
      <c r="Q12" s="18">
        <f>'Prix des produits et services '!$E$12*'Objectifs de ventes (quantité)'!Q12</f>
        <v>0</v>
      </c>
      <c r="R12" s="18">
        <f>'Prix des produits et services '!$E$12*'Objectifs de ventes (quantité)'!R12</f>
        <v>0</v>
      </c>
      <c r="S12" s="18">
        <f>'Prix des produits et services '!$E$12*'Objectifs de ventes (quantité)'!S12</f>
        <v>0</v>
      </c>
      <c r="T12" s="18">
        <f>'Prix des produits et services '!$E$12*'Objectifs de ventes (quantité)'!T12</f>
        <v>0</v>
      </c>
      <c r="U12" s="18">
        <f>'Prix des produits et services '!$E$12*'Objectifs de ventes (quantité)'!U12</f>
        <v>0</v>
      </c>
      <c r="V12" s="18">
        <f>'Prix des produits et services '!$E$12*'Objectifs de ventes (quantité)'!V12</f>
        <v>0</v>
      </c>
      <c r="W12" s="18">
        <f>'Prix des produits et services '!$E$12*'Objectifs de ventes (quantité)'!W12</f>
        <v>0</v>
      </c>
      <c r="X12" s="18">
        <f>'Prix des produits et services '!$E$12*'Objectifs de ventes (quantité)'!X12</f>
        <v>0</v>
      </c>
      <c r="Y12" s="18">
        <f>'Prix des produits et services '!$E$12*'Objectifs de ventes (quantité)'!Y12</f>
        <v>0</v>
      </c>
      <c r="Z12" s="18">
        <f>'Prix des produits et services '!$E$12*'Objectifs de ventes (quantité)'!Z12</f>
        <v>0</v>
      </c>
      <c r="AA12" s="18">
        <f>'Prix des produits et services '!$E$12*'Objectifs de ventes (quantité)'!AA12</f>
        <v>0</v>
      </c>
      <c r="AB12" s="99">
        <f>SUM(P12:AA12)</f>
        <v>0</v>
      </c>
      <c r="AC12" s="28">
        <f>'Prix des produits et services '!$F$12*'Objectifs de ventes (quantité)'!AC12</f>
        <v>0</v>
      </c>
      <c r="AD12" s="28">
        <f>'Prix des produits et services '!$F$12*'Objectifs de ventes (quantité)'!AD12</f>
        <v>0</v>
      </c>
      <c r="AE12" s="28">
        <f>'Prix des produits et services '!$F$12*'Objectifs de ventes (quantité)'!AE12</f>
        <v>0</v>
      </c>
      <c r="AF12" s="28">
        <f>'Prix des produits et services '!$F$12*'Objectifs de ventes (quantité)'!AF12</f>
        <v>0</v>
      </c>
      <c r="AG12" s="28">
        <f>'Prix des produits et services '!$F$12*'Objectifs de ventes (quantité)'!AG12</f>
        <v>0</v>
      </c>
      <c r="AH12" s="28">
        <f>'Prix des produits et services '!$F$12*'Objectifs de ventes (quantité)'!AH12</f>
        <v>0</v>
      </c>
      <c r="AI12" s="28">
        <f>'Prix des produits et services '!$F$12*'Objectifs de ventes (quantité)'!AI12</f>
        <v>0</v>
      </c>
      <c r="AJ12" s="28">
        <f>'Prix des produits et services '!$F$12*'Objectifs de ventes (quantité)'!AJ12</f>
        <v>0</v>
      </c>
      <c r="AK12" s="28">
        <f>'Prix des produits et services '!$F$12*'Objectifs de ventes (quantité)'!AK12</f>
        <v>0</v>
      </c>
      <c r="AL12" s="28">
        <f>'Prix des produits et services '!$F$12*'Objectifs de ventes (quantité)'!AL12</f>
        <v>0</v>
      </c>
      <c r="AM12" s="28">
        <f>'Prix des produits et services '!$F$12*'Objectifs de ventes (quantité)'!AM12</f>
        <v>0</v>
      </c>
      <c r="AN12" s="28">
        <f>'Prix des produits et services '!$F$12*'Objectifs de ventes (quantité)'!AN12</f>
        <v>0</v>
      </c>
      <c r="AO12" s="99">
        <f t="shared" si="2"/>
        <v>0</v>
      </c>
      <c r="AP12" s="18">
        <f>'Prix des produits et services '!$G$12*'Objectifs de ventes (quantité)'!AP12</f>
        <v>0</v>
      </c>
      <c r="AQ12" s="18">
        <f>'Prix des produits et services '!$G$12*'Objectifs de ventes (quantité)'!AQ12</f>
        <v>0</v>
      </c>
      <c r="AR12" s="18">
        <f>'Prix des produits et services '!$G$12*'Objectifs de ventes (quantité)'!AR12</f>
        <v>0</v>
      </c>
      <c r="AS12" s="18">
        <f>'Prix des produits et services '!$G$12*'Objectifs de ventes (quantité)'!AS12</f>
        <v>0</v>
      </c>
      <c r="AT12" s="18">
        <f>'Prix des produits et services '!$G$12*'Objectifs de ventes (quantité)'!AT12</f>
        <v>0</v>
      </c>
      <c r="AU12" s="18">
        <f>'Prix des produits et services '!$G$12*'Objectifs de ventes (quantité)'!AU12</f>
        <v>0</v>
      </c>
      <c r="AV12" s="18">
        <f>'Prix des produits et services '!$G$12*'Objectifs de ventes (quantité)'!AV12</f>
        <v>0</v>
      </c>
      <c r="AW12" s="18">
        <f>'Prix des produits et services '!$G$12*'Objectifs de ventes (quantité)'!AW12</f>
        <v>0</v>
      </c>
      <c r="AX12" s="18">
        <f>'Prix des produits et services '!$G$12*'Objectifs de ventes (quantité)'!AX12</f>
        <v>0</v>
      </c>
      <c r="AY12" s="18">
        <f>'Prix des produits et services '!$G$12*'Objectifs de ventes (quantité)'!AY12</f>
        <v>0</v>
      </c>
      <c r="AZ12" s="18">
        <f>'Prix des produits et services '!$G$12*'Objectifs de ventes (quantité)'!AZ12</f>
        <v>0</v>
      </c>
      <c r="BA12" s="18">
        <f>'Prix des produits et services '!$G$12*'Objectifs de ventes (quantité)'!BA12</f>
        <v>0</v>
      </c>
      <c r="BB12" s="99">
        <f t="shared" si="3"/>
        <v>0</v>
      </c>
      <c r="BC12" s="18">
        <f>'Prix des produits et services '!$H$12*'Objectifs de ventes (quantité)'!BC12</f>
        <v>0</v>
      </c>
      <c r="BD12" s="18">
        <f>'Prix des produits et services '!$H$12*'Objectifs de ventes (quantité)'!BD12</f>
        <v>0</v>
      </c>
      <c r="BE12" s="18">
        <f>'Prix des produits et services '!$H$12*'Objectifs de ventes (quantité)'!BE12</f>
        <v>0</v>
      </c>
      <c r="BF12" s="18">
        <f>'Prix des produits et services '!$H$12*'Objectifs de ventes (quantité)'!BF12</f>
        <v>0</v>
      </c>
      <c r="BG12" s="18">
        <f>'Prix des produits et services '!$H$12*'Objectifs de ventes (quantité)'!BG12</f>
        <v>0</v>
      </c>
      <c r="BH12" s="18">
        <f>'Prix des produits et services '!$H$12*'Objectifs de ventes (quantité)'!BH12</f>
        <v>0</v>
      </c>
      <c r="BI12" s="18">
        <f>'Prix des produits et services '!$H$12*'Objectifs de ventes (quantité)'!BI12</f>
        <v>0</v>
      </c>
      <c r="BJ12" s="18">
        <f>'Prix des produits et services '!$H$12*'Objectifs de ventes (quantité)'!BJ12</f>
        <v>0</v>
      </c>
      <c r="BK12" s="18">
        <f>'Prix des produits et services '!$H$12*'Objectifs de ventes (quantité)'!BK12</f>
        <v>0</v>
      </c>
      <c r="BL12" s="18">
        <f>'Prix des produits et services '!$H$12*'Objectifs de ventes (quantité)'!BL12</f>
        <v>0</v>
      </c>
      <c r="BM12" s="18">
        <f>'Prix des produits et services '!$H$12*'Objectifs de ventes (quantité)'!BM12</f>
        <v>0</v>
      </c>
      <c r="BN12" s="18">
        <f>'Prix des produits et services '!$H$12*'Objectifs de ventes (quantité)'!BN12</f>
        <v>0</v>
      </c>
      <c r="BO12" s="99">
        <f t="shared" si="4"/>
        <v>0</v>
      </c>
    </row>
    <row r="13" spans="1:67" x14ac:dyDescent="0.3">
      <c r="A13" s="5" t="str">
        <f>'Prix des produits et services '!B13</f>
        <v>Produit ou Service 12</v>
      </c>
      <c r="B13" s="1">
        <f>'Prix des produits et services '!C13</f>
        <v>0</v>
      </c>
      <c r="C13" s="18">
        <f>'Prix des produits et services '!$D$13*'Objectifs de ventes (quantité)'!C13</f>
        <v>0</v>
      </c>
      <c r="D13" s="18">
        <f>'Prix des produits et services '!$D$13*'Objectifs de ventes (quantité)'!D13</f>
        <v>0</v>
      </c>
      <c r="E13" s="18">
        <f>'Prix des produits et services '!$D$13*'Objectifs de ventes (quantité)'!E13</f>
        <v>0</v>
      </c>
      <c r="F13" s="18">
        <f>'Prix des produits et services '!$D$13*'Objectifs de ventes (quantité)'!F13</f>
        <v>0</v>
      </c>
      <c r="G13" s="18">
        <f>'Prix des produits et services '!$D$13*'Objectifs de ventes (quantité)'!G13</f>
        <v>0</v>
      </c>
      <c r="H13" s="18">
        <f>'Prix des produits et services '!$D$13*'Objectifs de ventes (quantité)'!H13</f>
        <v>0</v>
      </c>
      <c r="I13" s="18">
        <f>'Prix des produits et services '!$D$13*'Objectifs de ventes (quantité)'!I13</f>
        <v>0</v>
      </c>
      <c r="J13" s="18">
        <f>'Prix des produits et services '!$D$13*'Objectifs de ventes (quantité)'!J13</f>
        <v>0</v>
      </c>
      <c r="K13" s="18">
        <f>'Prix des produits et services '!$D$13*'Objectifs de ventes (quantité)'!K13</f>
        <v>0</v>
      </c>
      <c r="L13" s="18">
        <f>'Prix des produits et services '!$D$13*'Objectifs de ventes (quantité)'!L13</f>
        <v>0</v>
      </c>
      <c r="M13" s="18">
        <f>'Prix des produits et services '!$D$13*'Objectifs de ventes (quantité)'!M13</f>
        <v>0</v>
      </c>
      <c r="N13" s="18">
        <f>'Prix des produits et services '!$D$13*'Objectifs de ventes (quantité)'!N13</f>
        <v>0</v>
      </c>
      <c r="O13" s="99">
        <f t="shared" si="0"/>
        <v>0</v>
      </c>
      <c r="P13" s="18">
        <f>'Prix des produits et services '!$E$13*'Objectifs de ventes (quantité)'!P13</f>
        <v>0</v>
      </c>
      <c r="Q13" s="18">
        <f>'Prix des produits et services '!$E$13*'Objectifs de ventes (quantité)'!Q13</f>
        <v>0</v>
      </c>
      <c r="R13" s="18">
        <f>'Prix des produits et services '!$E$13*'Objectifs de ventes (quantité)'!R13</f>
        <v>0</v>
      </c>
      <c r="S13" s="18">
        <f>'Prix des produits et services '!$E$13*'Objectifs de ventes (quantité)'!S13</f>
        <v>0</v>
      </c>
      <c r="T13" s="18">
        <f>'Prix des produits et services '!$E$13*'Objectifs de ventes (quantité)'!T13</f>
        <v>0</v>
      </c>
      <c r="U13" s="18">
        <f>'Prix des produits et services '!$E$13*'Objectifs de ventes (quantité)'!U13</f>
        <v>0</v>
      </c>
      <c r="V13" s="18">
        <f>'Prix des produits et services '!$E$13*'Objectifs de ventes (quantité)'!V13</f>
        <v>0</v>
      </c>
      <c r="W13" s="18">
        <f>'Prix des produits et services '!$E$13*'Objectifs de ventes (quantité)'!W13</f>
        <v>0</v>
      </c>
      <c r="X13" s="18">
        <f>'Prix des produits et services '!$E$13*'Objectifs de ventes (quantité)'!X13</f>
        <v>0</v>
      </c>
      <c r="Y13" s="18">
        <f>'Prix des produits et services '!$E$13*'Objectifs de ventes (quantité)'!Y13</f>
        <v>0</v>
      </c>
      <c r="Z13" s="18">
        <f>'Prix des produits et services '!$E$13*'Objectifs de ventes (quantité)'!Z13</f>
        <v>0</v>
      </c>
      <c r="AA13" s="18">
        <f>'Prix des produits et services '!$E$13*'Objectifs de ventes (quantité)'!AA13</f>
        <v>0</v>
      </c>
      <c r="AB13" s="99">
        <f t="shared" si="1"/>
        <v>0</v>
      </c>
      <c r="AC13" s="18">
        <f>'Prix des produits et services '!$F$13*'Objectifs de ventes (quantité)'!AC13</f>
        <v>0</v>
      </c>
      <c r="AD13" s="18">
        <f>'Prix des produits et services '!$F$13*'Objectifs de ventes (quantité)'!AD13</f>
        <v>0</v>
      </c>
      <c r="AE13" s="18">
        <f>'Prix des produits et services '!$F$13*'Objectifs de ventes (quantité)'!AE13</f>
        <v>0</v>
      </c>
      <c r="AF13" s="18">
        <f>'Prix des produits et services '!$F$13*'Objectifs de ventes (quantité)'!AF13</f>
        <v>0</v>
      </c>
      <c r="AG13" s="18">
        <f>'Prix des produits et services '!$F$13*'Objectifs de ventes (quantité)'!AG13</f>
        <v>0</v>
      </c>
      <c r="AH13" s="18">
        <f>'Prix des produits et services '!$F$13*'Objectifs de ventes (quantité)'!AH13</f>
        <v>0</v>
      </c>
      <c r="AI13" s="18">
        <f>'Prix des produits et services '!$F$13*'Objectifs de ventes (quantité)'!AI13</f>
        <v>0</v>
      </c>
      <c r="AJ13" s="18">
        <f>'Prix des produits et services '!$F$13*'Objectifs de ventes (quantité)'!AJ13</f>
        <v>0</v>
      </c>
      <c r="AK13" s="18">
        <f>'Prix des produits et services '!$F$13*'Objectifs de ventes (quantité)'!AK13</f>
        <v>0</v>
      </c>
      <c r="AL13" s="18">
        <f>'Prix des produits et services '!$F$13*'Objectifs de ventes (quantité)'!AL13</f>
        <v>0</v>
      </c>
      <c r="AM13" s="18">
        <f>'Prix des produits et services '!$F$13*'Objectifs de ventes (quantité)'!AM13</f>
        <v>0</v>
      </c>
      <c r="AN13" s="18">
        <f>'Prix des produits et services '!$F$13*'Objectifs de ventes (quantité)'!AN13</f>
        <v>0</v>
      </c>
      <c r="AO13" s="99">
        <f t="shared" si="2"/>
        <v>0</v>
      </c>
      <c r="AP13" s="18">
        <f>'Prix des produits et services '!$G$13*'Objectifs de ventes (quantité)'!AP13</f>
        <v>0</v>
      </c>
      <c r="AQ13" s="18">
        <f>'Prix des produits et services '!$G$13*'Objectifs de ventes (quantité)'!AQ13</f>
        <v>0</v>
      </c>
      <c r="AR13" s="18">
        <f>'Prix des produits et services '!$G$13*'Objectifs de ventes (quantité)'!AR13</f>
        <v>0</v>
      </c>
      <c r="AS13" s="18">
        <f>'Prix des produits et services '!$G$13*'Objectifs de ventes (quantité)'!AS13</f>
        <v>0</v>
      </c>
      <c r="AT13" s="18">
        <f>'Prix des produits et services '!$G$13*'Objectifs de ventes (quantité)'!AT13</f>
        <v>0</v>
      </c>
      <c r="AU13" s="18">
        <f>'Prix des produits et services '!$G$13*'Objectifs de ventes (quantité)'!AU13</f>
        <v>0</v>
      </c>
      <c r="AV13" s="18">
        <f>'Prix des produits et services '!$G$13*'Objectifs de ventes (quantité)'!AV13</f>
        <v>0</v>
      </c>
      <c r="AW13" s="18">
        <f>'Prix des produits et services '!$G$13*'Objectifs de ventes (quantité)'!AW13</f>
        <v>0</v>
      </c>
      <c r="AX13" s="18">
        <f>'Prix des produits et services '!$G$13*'Objectifs de ventes (quantité)'!AX13</f>
        <v>0</v>
      </c>
      <c r="AY13" s="18">
        <f>'Prix des produits et services '!$G$13*'Objectifs de ventes (quantité)'!AY13</f>
        <v>0</v>
      </c>
      <c r="AZ13" s="18">
        <f>'Prix des produits et services '!$G$13*'Objectifs de ventes (quantité)'!AZ13</f>
        <v>0</v>
      </c>
      <c r="BA13" s="18">
        <f>'Prix des produits et services '!$G$13*'Objectifs de ventes (quantité)'!BA13</f>
        <v>0</v>
      </c>
      <c r="BB13" s="99">
        <f t="shared" si="3"/>
        <v>0</v>
      </c>
      <c r="BC13" s="18">
        <f>'Prix des produits et services '!$H$13*'Objectifs de ventes (quantité)'!BC13</f>
        <v>0</v>
      </c>
      <c r="BD13" s="18">
        <f>'Prix des produits et services '!$H$13*'Objectifs de ventes (quantité)'!BD13</f>
        <v>0</v>
      </c>
      <c r="BE13" s="18">
        <f>'Prix des produits et services '!$H$13*'Objectifs de ventes (quantité)'!BE13</f>
        <v>0</v>
      </c>
      <c r="BF13" s="18">
        <f>'Prix des produits et services '!$H$13*'Objectifs de ventes (quantité)'!BF13</f>
        <v>0</v>
      </c>
      <c r="BG13" s="18">
        <f>'Prix des produits et services '!$H$13*'Objectifs de ventes (quantité)'!BG13</f>
        <v>0</v>
      </c>
      <c r="BH13" s="18">
        <f>'Prix des produits et services '!$H$13*'Objectifs de ventes (quantité)'!BH13</f>
        <v>0</v>
      </c>
      <c r="BI13" s="18">
        <f>'Prix des produits et services '!$H$13*'Objectifs de ventes (quantité)'!BI13</f>
        <v>0</v>
      </c>
      <c r="BJ13" s="18">
        <f>'Prix des produits et services '!$H$13*'Objectifs de ventes (quantité)'!BJ13</f>
        <v>0</v>
      </c>
      <c r="BK13" s="18">
        <f>'Prix des produits et services '!$H$13*'Objectifs de ventes (quantité)'!BK13</f>
        <v>0</v>
      </c>
      <c r="BL13" s="18">
        <f>'Prix des produits et services '!$H$13*'Objectifs de ventes (quantité)'!BL13</f>
        <v>0</v>
      </c>
      <c r="BM13" s="18">
        <f>'Prix des produits et services '!$H$13*'Objectifs de ventes (quantité)'!BM13</f>
        <v>0</v>
      </c>
      <c r="BN13" s="18">
        <f>'Prix des produits et services '!$H$13*'Objectifs de ventes (quantité)'!BN13</f>
        <v>0</v>
      </c>
      <c r="BO13" s="99">
        <f t="shared" si="4"/>
        <v>0</v>
      </c>
    </row>
    <row r="14" spans="1:67" x14ac:dyDescent="0.3">
      <c r="A14" s="5" t="str">
        <f>'Prix des produits et services '!B14</f>
        <v>Produit ou Service 13</v>
      </c>
      <c r="B14" s="1">
        <f>'Prix des produits et services '!C14</f>
        <v>0</v>
      </c>
      <c r="C14" s="18">
        <f>'Prix des produits et services '!$D$14*'Objectifs de ventes (quantité)'!C14</f>
        <v>0</v>
      </c>
      <c r="D14" s="18">
        <f>'Prix des produits et services '!$D$14*'Objectifs de ventes (quantité)'!D14</f>
        <v>0</v>
      </c>
      <c r="E14" s="18">
        <f>'Prix des produits et services '!$D$14*'Objectifs de ventes (quantité)'!E14</f>
        <v>0</v>
      </c>
      <c r="F14" s="18">
        <f>'Prix des produits et services '!$D$14*'Objectifs de ventes (quantité)'!F14</f>
        <v>0</v>
      </c>
      <c r="G14" s="18">
        <f>'Prix des produits et services '!$D$14*'Objectifs de ventes (quantité)'!G14</f>
        <v>0</v>
      </c>
      <c r="H14" s="18">
        <f>'Prix des produits et services '!$D$14*'Objectifs de ventes (quantité)'!H14</f>
        <v>0</v>
      </c>
      <c r="I14" s="18">
        <f>'Prix des produits et services '!$D$14*'Objectifs de ventes (quantité)'!I14</f>
        <v>0</v>
      </c>
      <c r="J14" s="18">
        <f>'Prix des produits et services '!$D$14*'Objectifs de ventes (quantité)'!J14</f>
        <v>0</v>
      </c>
      <c r="K14" s="18">
        <f>'Prix des produits et services '!$D$14*'Objectifs de ventes (quantité)'!K14</f>
        <v>0</v>
      </c>
      <c r="L14" s="18">
        <f>'Prix des produits et services '!$D$14*'Objectifs de ventes (quantité)'!L14</f>
        <v>0</v>
      </c>
      <c r="M14" s="18">
        <f>'Prix des produits et services '!$D$14*'Objectifs de ventes (quantité)'!M14</f>
        <v>0</v>
      </c>
      <c r="N14" s="18">
        <f>'Prix des produits et services '!$D$14*'Objectifs de ventes (quantité)'!N14</f>
        <v>0</v>
      </c>
      <c r="O14" s="99">
        <f t="shared" si="0"/>
        <v>0</v>
      </c>
      <c r="P14" s="18">
        <f>'Prix des produits et services '!$E$14*'Objectifs de ventes (quantité)'!P14</f>
        <v>0</v>
      </c>
      <c r="Q14" s="18">
        <f>'Prix des produits et services '!$E$14*'Objectifs de ventes (quantité)'!Q14</f>
        <v>0</v>
      </c>
      <c r="R14" s="18">
        <f>'Prix des produits et services '!$E$14*'Objectifs de ventes (quantité)'!R14</f>
        <v>0</v>
      </c>
      <c r="S14" s="18">
        <f>'Prix des produits et services '!$E$14*'Objectifs de ventes (quantité)'!S14</f>
        <v>0</v>
      </c>
      <c r="T14" s="18">
        <f>'Prix des produits et services '!$E$14*'Objectifs de ventes (quantité)'!T14</f>
        <v>0</v>
      </c>
      <c r="U14" s="18">
        <f>'Prix des produits et services '!$E$14*'Objectifs de ventes (quantité)'!U14</f>
        <v>0</v>
      </c>
      <c r="V14" s="18">
        <f>'Prix des produits et services '!$E$14*'Objectifs de ventes (quantité)'!V14</f>
        <v>0</v>
      </c>
      <c r="W14" s="18">
        <f>'Prix des produits et services '!$E$14*'Objectifs de ventes (quantité)'!W14</f>
        <v>0</v>
      </c>
      <c r="X14" s="18">
        <f>'Prix des produits et services '!$E$14*'Objectifs de ventes (quantité)'!X14</f>
        <v>0</v>
      </c>
      <c r="Y14" s="18">
        <f>'Prix des produits et services '!$E$14*'Objectifs de ventes (quantité)'!Y14</f>
        <v>0</v>
      </c>
      <c r="Z14" s="18">
        <f>'Prix des produits et services '!$E$14*'Objectifs de ventes (quantité)'!Z14</f>
        <v>0</v>
      </c>
      <c r="AA14" s="18">
        <f>'Prix des produits et services '!$E$14*'Objectifs de ventes (quantité)'!AA14</f>
        <v>0</v>
      </c>
      <c r="AB14" s="99">
        <f t="shared" si="1"/>
        <v>0</v>
      </c>
      <c r="AC14" s="18">
        <f>'Prix des produits et services '!$F$14*'Objectifs de ventes (quantité)'!AC14</f>
        <v>0</v>
      </c>
      <c r="AD14" s="18">
        <f>'Prix des produits et services '!$F$14*'Objectifs de ventes (quantité)'!AD14</f>
        <v>0</v>
      </c>
      <c r="AE14" s="18">
        <f>'Prix des produits et services '!$F$14*'Objectifs de ventes (quantité)'!AE14</f>
        <v>0</v>
      </c>
      <c r="AF14" s="18">
        <f>'Prix des produits et services '!$F$14*'Objectifs de ventes (quantité)'!AF14</f>
        <v>0</v>
      </c>
      <c r="AG14" s="18">
        <f>'Prix des produits et services '!$F$14*'Objectifs de ventes (quantité)'!AG14</f>
        <v>0</v>
      </c>
      <c r="AH14" s="18">
        <f>'Prix des produits et services '!$F$14*'Objectifs de ventes (quantité)'!AH14</f>
        <v>0</v>
      </c>
      <c r="AI14" s="18">
        <f>'Prix des produits et services '!$F$14*'Objectifs de ventes (quantité)'!AI14</f>
        <v>0</v>
      </c>
      <c r="AJ14" s="18">
        <f>'Prix des produits et services '!$F$14*'Objectifs de ventes (quantité)'!AJ14</f>
        <v>0</v>
      </c>
      <c r="AK14" s="18">
        <f>'Prix des produits et services '!$F$14*'Objectifs de ventes (quantité)'!AK14</f>
        <v>0</v>
      </c>
      <c r="AL14" s="18">
        <f>'Prix des produits et services '!$F$14*'Objectifs de ventes (quantité)'!AL14</f>
        <v>0</v>
      </c>
      <c r="AM14" s="18">
        <f>'Prix des produits et services '!$F$14*'Objectifs de ventes (quantité)'!AM14</f>
        <v>0</v>
      </c>
      <c r="AN14" s="18">
        <f>'Prix des produits et services '!$F$14*'Objectifs de ventes (quantité)'!AN14</f>
        <v>0</v>
      </c>
      <c r="AO14" s="99">
        <f t="shared" si="2"/>
        <v>0</v>
      </c>
      <c r="AP14" s="18">
        <f>'Prix des produits et services '!$G$14*'Objectifs de ventes (quantité)'!AP14</f>
        <v>0</v>
      </c>
      <c r="AQ14" s="18">
        <f>'Prix des produits et services '!$G$14*'Objectifs de ventes (quantité)'!AQ14</f>
        <v>0</v>
      </c>
      <c r="AR14" s="18">
        <f>'Prix des produits et services '!$G$14*'Objectifs de ventes (quantité)'!AR14</f>
        <v>0</v>
      </c>
      <c r="AS14" s="18">
        <f>'Prix des produits et services '!$G$14*'Objectifs de ventes (quantité)'!AS14</f>
        <v>0</v>
      </c>
      <c r="AT14" s="18">
        <f>'Prix des produits et services '!$G$14*'Objectifs de ventes (quantité)'!AT14</f>
        <v>0</v>
      </c>
      <c r="AU14" s="18">
        <f>'Prix des produits et services '!$G$14*'Objectifs de ventes (quantité)'!AU14</f>
        <v>0</v>
      </c>
      <c r="AV14" s="18">
        <f>'Prix des produits et services '!$G$14*'Objectifs de ventes (quantité)'!AV14</f>
        <v>0</v>
      </c>
      <c r="AW14" s="18">
        <f>'Prix des produits et services '!$G$14*'Objectifs de ventes (quantité)'!AW14</f>
        <v>0</v>
      </c>
      <c r="AX14" s="18">
        <f>'Prix des produits et services '!$G$14*'Objectifs de ventes (quantité)'!AX14</f>
        <v>0</v>
      </c>
      <c r="AY14" s="18">
        <f>'Prix des produits et services '!$G$14*'Objectifs de ventes (quantité)'!AY14</f>
        <v>0</v>
      </c>
      <c r="AZ14" s="18">
        <f>'Prix des produits et services '!$G$14*'Objectifs de ventes (quantité)'!AZ14</f>
        <v>0</v>
      </c>
      <c r="BA14" s="18">
        <f>'Prix des produits et services '!$G$14*'Objectifs de ventes (quantité)'!BA14</f>
        <v>0</v>
      </c>
      <c r="BB14" s="99">
        <f t="shared" si="3"/>
        <v>0</v>
      </c>
      <c r="BC14" s="18">
        <f>'Prix des produits et services '!$H$14*'Objectifs de ventes (quantité)'!BC14</f>
        <v>0</v>
      </c>
      <c r="BD14" s="18">
        <f>'Prix des produits et services '!$H$14*'Objectifs de ventes (quantité)'!BD14</f>
        <v>0</v>
      </c>
      <c r="BE14" s="18">
        <f>'Prix des produits et services '!$H$14*'Objectifs de ventes (quantité)'!BE14</f>
        <v>0</v>
      </c>
      <c r="BF14" s="18">
        <f>'Prix des produits et services '!$H$14*'Objectifs de ventes (quantité)'!BF14</f>
        <v>0</v>
      </c>
      <c r="BG14" s="18">
        <f>'Prix des produits et services '!$H$14*'Objectifs de ventes (quantité)'!BG14</f>
        <v>0</v>
      </c>
      <c r="BH14" s="18">
        <f>'Prix des produits et services '!$H$14*'Objectifs de ventes (quantité)'!BH14</f>
        <v>0</v>
      </c>
      <c r="BI14" s="18">
        <f>'Prix des produits et services '!$H$14*'Objectifs de ventes (quantité)'!BI14</f>
        <v>0</v>
      </c>
      <c r="BJ14" s="18">
        <f>'Prix des produits et services '!$H$14*'Objectifs de ventes (quantité)'!BJ14</f>
        <v>0</v>
      </c>
      <c r="BK14" s="18">
        <f>'Prix des produits et services '!$H$14*'Objectifs de ventes (quantité)'!BK14</f>
        <v>0</v>
      </c>
      <c r="BL14" s="18">
        <f>'Prix des produits et services '!$H$14*'Objectifs de ventes (quantité)'!BL14</f>
        <v>0</v>
      </c>
      <c r="BM14" s="18">
        <f>'Prix des produits et services '!$H$14*'Objectifs de ventes (quantité)'!BM14</f>
        <v>0</v>
      </c>
      <c r="BN14" s="18">
        <f>'Prix des produits et services '!$H$14*'Objectifs de ventes (quantité)'!BN14</f>
        <v>0</v>
      </c>
      <c r="BO14" s="99">
        <f t="shared" si="4"/>
        <v>0</v>
      </c>
    </row>
    <row r="15" spans="1:67" x14ac:dyDescent="0.3">
      <c r="A15" s="5" t="str">
        <f>'Prix des produits et services '!B15</f>
        <v>Produit ou Service 14</v>
      </c>
      <c r="B15" s="1">
        <f>'Prix des produits et services '!C15</f>
        <v>0</v>
      </c>
      <c r="C15" s="18">
        <f>'Prix des produits et services '!$D$15*'Objectifs de ventes (quantité)'!C15</f>
        <v>0</v>
      </c>
      <c r="D15" s="18">
        <f>'Prix des produits et services '!$D$15*'Objectifs de ventes (quantité)'!D15</f>
        <v>0</v>
      </c>
      <c r="E15" s="18">
        <f>'Prix des produits et services '!$D$15*'Objectifs de ventes (quantité)'!E15</f>
        <v>0</v>
      </c>
      <c r="F15" s="18">
        <f>'Prix des produits et services '!$D$15*'Objectifs de ventes (quantité)'!F15</f>
        <v>0</v>
      </c>
      <c r="G15" s="18">
        <f>'Prix des produits et services '!$D$15*'Objectifs de ventes (quantité)'!G15</f>
        <v>0</v>
      </c>
      <c r="H15" s="18">
        <f>'Prix des produits et services '!$D$15*'Objectifs de ventes (quantité)'!H15</f>
        <v>0</v>
      </c>
      <c r="I15" s="18">
        <f>'Prix des produits et services '!$D$15*'Objectifs de ventes (quantité)'!I15</f>
        <v>0</v>
      </c>
      <c r="J15" s="18">
        <f>'Prix des produits et services '!$D$15*'Objectifs de ventes (quantité)'!J15</f>
        <v>0</v>
      </c>
      <c r="K15" s="18">
        <f>'Prix des produits et services '!$D$15*'Objectifs de ventes (quantité)'!K15</f>
        <v>0</v>
      </c>
      <c r="L15" s="18">
        <f>'Prix des produits et services '!$D$15*'Objectifs de ventes (quantité)'!L15</f>
        <v>0</v>
      </c>
      <c r="M15" s="18">
        <f>'Prix des produits et services '!$D$15*'Objectifs de ventes (quantité)'!M15</f>
        <v>0</v>
      </c>
      <c r="N15" s="18">
        <f>'Prix des produits et services '!$D$15*'Objectifs de ventes (quantité)'!N15</f>
        <v>0</v>
      </c>
      <c r="O15" s="99">
        <f t="shared" si="0"/>
        <v>0</v>
      </c>
      <c r="P15" s="18">
        <f>'Prix des produits et services '!$E$15*'Objectifs de ventes (quantité)'!P15</f>
        <v>0</v>
      </c>
      <c r="Q15" s="18">
        <f>'Prix des produits et services '!$E$15*'Objectifs de ventes (quantité)'!Q15</f>
        <v>0</v>
      </c>
      <c r="R15" s="18">
        <f>'Prix des produits et services '!$E$15*'Objectifs de ventes (quantité)'!R15</f>
        <v>0</v>
      </c>
      <c r="S15" s="18">
        <f>'Prix des produits et services '!$E$15*'Objectifs de ventes (quantité)'!S15</f>
        <v>0</v>
      </c>
      <c r="T15" s="18">
        <f>'Prix des produits et services '!$E$15*'Objectifs de ventes (quantité)'!T15</f>
        <v>0</v>
      </c>
      <c r="U15" s="18">
        <f>'Prix des produits et services '!$E$15*'Objectifs de ventes (quantité)'!U15</f>
        <v>0</v>
      </c>
      <c r="V15" s="18">
        <f>'Prix des produits et services '!$E$15*'Objectifs de ventes (quantité)'!V15</f>
        <v>0</v>
      </c>
      <c r="W15" s="18">
        <f>'Prix des produits et services '!$E$15*'Objectifs de ventes (quantité)'!W15</f>
        <v>0</v>
      </c>
      <c r="X15" s="18">
        <f>'Prix des produits et services '!$E$15*'Objectifs de ventes (quantité)'!X15</f>
        <v>0</v>
      </c>
      <c r="Y15" s="18">
        <f>'Prix des produits et services '!$E$15*'Objectifs de ventes (quantité)'!Y15</f>
        <v>0</v>
      </c>
      <c r="Z15" s="18">
        <f>'Prix des produits et services '!$E$15*'Objectifs de ventes (quantité)'!Z15</f>
        <v>0</v>
      </c>
      <c r="AA15" s="18">
        <f>'Prix des produits et services '!$E$15*'Objectifs de ventes (quantité)'!AA15</f>
        <v>0</v>
      </c>
      <c r="AB15" s="99">
        <f t="shared" si="1"/>
        <v>0</v>
      </c>
      <c r="AC15" s="18">
        <f>'Prix des produits et services '!$F$15*'Objectifs de ventes (quantité)'!AC15</f>
        <v>0</v>
      </c>
      <c r="AD15" s="18">
        <f>'Prix des produits et services '!$F$15*'Objectifs de ventes (quantité)'!AD15</f>
        <v>0</v>
      </c>
      <c r="AE15" s="18">
        <f>'Prix des produits et services '!$F$15*'Objectifs de ventes (quantité)'!AE15</f>
        <v>0</v>
      </c>
      <c r="AF15" s="18">
        <f>'Prix des produits et services '!$F$15*'Objectifs de ventes (quantité)'!AF15</f>
        <v>0</v>
      </c>
      <c r="AG15" s="18">
        <f>'Prix des produits et services '!$F$15*'Objectifs de ventes (quantité)'!AG15</f>
        <v>0</v>
      </c>
      <c r="AH15" s="18">
        <f>'Prix des produits et services '!$F$15*'Objectifs de ventes (quantité)'!AH15</f>
        <v>0</v>
      </c>
      <c r="AI15" s="18">
        <f>'Prix des produits et services '!$F$15*'Objectifs de ventes (quantité)'!AI15</f>
        <v>0</v>
      </c>
      <c r="AJ15" s="18">
        <f>'Prix des produits et services '!$F$15*'Objectifs de ventes (quantité)'!AJ15</f>
        <v>0</v>
      </c>
      <c r="AK15" s="18">
        <f>'Prix des produits et services '!$F$15*'Objectifs de ventes (quantité)'!AK15</f>
        <v>0</v>
      </c>
      <c r="AL15" s="18">
        <f>'Prix des produits et services '!$F$15*'Objectifs de ventes (quantité)'!AL15</f>
        <v>0</v>
      </c>
      <c r="AM15" s="18">
        <f>'Prix des produits et services '!$F$15*'Objectifs de ventes (quantité)'!AM15</f>
        <v>0</v>
      </c>
      <c r="AN15" s="18">
        <f>'Prix des produits et services '!$F$15*'Objectifs de ventes (quantité)'!AN15</f>
        <v>0</v>
      </c>
      <c r="AO15" s="99">
        <f t="shared" si="2"/>
        <v>0</v>
      </c>
      <c r="AP15" s="18">
        <f>'Prix des produits et services '!$G$15*'Objectifs de ventes (quantité)'!AP15</f>
        <v>0</v>
      </c>
      <c r="AQ15" s="18">
        <f>'Prix des produits et services '!$G$15*'Objectifs de ventes (quantité)'!AQ15</f>
        <v>0</v>
      </c>
      <c r="AR15" s="18">
        <f>'Prix des produits et services '!$G$15*'Objectifs de ventes (quantité)'!AR15</f>
        <v>0</v>
      </c>
      <c r="AS15" s="18">
        <f>'Prix des produits et services '!$G$15*'Objectifs de ventes (quantité)'!AS15</f>
        <v>0</v>
      </c>
      <c r="AT15" s="18">
        <f>'Prix des produits et services '!$G$15*'Objectifs de ventes (quantité)'!AT15</f>
        <v>0</v>
      </c>
      <c r="AU15" s="18">
        <f>'Prix des produits et services '!$G$15*'Objectifs de ventes (quantité)'!AU15</f>
        <v>0</v>
      </c>
      <c r="AV15" s="18">
        <f>'Prix des produits et services '!$G$15*'Objectifs de ventes (quantité)'!AV15</f>
        <v>0</v>
      </c>
      <c r="AW15" s="18">
        <f>'Prix des produits et services '!$G$15*'Objectifs de ventes (quantité)'!AW15</f>
        <v>0</v>
      </c>
      <c r="AX15" s="18">
        <f>'Prix des produits et services '!$G$15*'Objectifs de ventes (quantité)'!AX15</f>
        <v>0</v>
      </c>
      <c r="AY15" s="18">
        <f>'Prix des produits et services '!$G$15*'Objectifs de ventes (quantité)'!AY15</f>
        <v>0</v>
      </c>
      <c r="AZ15" s="18">
        <f>'Prix des produits et services '!$G$15*'Objectifs de ventes (quantité)'!AZ15</f>
        <v>0</v>
      </c>
      <c r="BA15" s="18">
        <f>'Prix des produits et services '!$G$15*'Objectifs de ventes (quantité)'!BA15</f>
        <v>0</v>
      </c>
      <c r="BB15" s="99">
        <f t="shared" si="3"/>
        <v>0</v>
      </c>
      <c r="BC15" s="18">
        <f>'Prix des produits et services '!$H$15*'Objectifs de ventes (quantité)'!BC15</f>
        <v>0</v>
      </c>
      <c r="BD15" s="18">
        <f>'Prix des produits et services '!$H$15*'Objectifs de ventes (quantité)'!BD15</f>
        <v>0</v>
      </c>
      <c r="BE15" s="18">
        <f>'Prix des produits et services '!$H$15*'Objectifs de ventes (quantité)'!BE15</f>
        <v>0</v>
      </c>
      <c r="BF15" s="18">
        <f>'Prix des produits et services '!$H$15*'Objectifs de ventes (quantité)'!BF15</f>
        <v>0</v>
      </c>
      <c r="BG15" s="18">
        <f>'Prix des produits et services '!$H$15*'Objectifs de ventes (quantité)'!BG15</f>
        <v>0</v>
      </c>
      <c r="BH15" s="18">
        <f>'Prix des produits et services '!$H$15*'Objectifs de ventes (quantité)'!BH15</f>
        <v>0</v>
      </c>
      <c r="BI15" s="18">
        <f>'Prix des produits et services '!$H$15*'Objectifs de ventes (quantité)'!BI15</f>
        <v>0</v>
      </c>
      <c r="BJ15" s="18">
        <f>'Prix des produits et services '!$H$15*'Objectifs de ventes (quantité)'!BJ15</f>
        <v>0</v>
      </c>
      <c r="BK15" s="18">
        <f>'Prix des produits et services '!$H$15*'Objectifs de ventes (quantité)'!BK15</f>
        <v>0</v>
      </c>
      <c r="BL15" s="18">
        <f>'Prix des produits et services '!$H$15*'Objectifs de ventes (quantité)'!BL15</f>
        <v>0</v>
      </c>
      <c r="BM15" s="18">
        <f>'Prix des produits et services '!$H$15*'Objectifs de ventes (quantité)'!BM15</f>
        <v>0</v>
      </c>
      <c r="BN15" s="18">
        <f>'Prix des produits et services '!$H$15*'Objectifs de ventes (quantité)'!BN15</f>
        <v>0</v>
      </c>
      <c r="BO15" s="99">
        <f t="shared" si="4"/>
        <v>0</v>
      </c>
    </row>
    <row r="16" spans="1:67" x14ac:dyDescent="0.3">
      <c r="A16" s="5" t="str">
        <f>'Prix des produits et services '!B16</f>
        <v>Produit ou Service 15</v>
      </c>
      <c r="B16" s="1">
        <f>'Prix des produits et services '!C16</f>
        <v>0</v>
      </c>
      <c r="C16" s="18">
        <f>'Prix des produits et services '!$D$16*'Objectifs de ventes (quantité)'!C16</f>
        <v>0</v>
      </c>
      <c r="D16" s="18">
        <f>'Prix des produits et services '!$D$16*'Objectifs de ventes (quantité)'!D16</f>
        <v>0</v>
      </c>
      <c r="E16" s="18">
        <f>'Prix des produits et services '!$D$16*'Objectifs de ventes (quantité)'!E16</f>
        <v>0</v>
      </c>
      <c r="F16" s="18">
        <f>'Prix des produits et services '!$D$16*'Objectifs de ventes (quantité)'!F16</f>
        <v>0</v>
      </c>
      <c r="G16" s="18">
        <f>'Prix des produits et services '!$D$16*'Objectifs de ventes (quantité)'!G16</f>
        <v>0</v>
      </c>
      <c r="H16" s="18">
        <f>'Prix des produits et services '!$D$16*'Objectifs de ventes (quantité)'!H16</f>
        <v>0</v>
      </c>
      <c r="I16" s="18">
        <f>'Prix des produits et services '!$D$16*'Objectifs de ventes (quantité)'!I16</f>
        <v>0</v>
      </c>
      <c r="J16" s="18">
        <f>'Prix des produits et services '!$D$16*'Objectifs de ventes (quantité)'!J16</f>
        <v>0</v>
      </c>
      <c r="K16" s="18">
        <f>'Prix des produits et services '!$D$16*'Objectifs de ventes (quantité)'!K16</f>
        <v>0</v>
      </c>
      <c r="L16" s="18">
        <f>'Prix des produits et services '!$D$16*'Objectifs de ventes (quantité)'!L16</f>
        <v>0</v>
      </c>
      <c r="M16" s="18">
        <f>'Prix des produits et services '!$D$16*'Objectifs de ventes (quantité)'!M16</f>
        <v>0</v>
      </c>
      <c r="N16" s="18">
        <f>'Prix des produits et services '!$D$16*'Objectifs de ventes (quantité)'!N16</f>
        <v>0</v>
      </c>
      <c r="O16" s="99">
        <f t="shared" si="0"/>
        <v>0</v>
      </c>
      <c r="P16" s="18">
        <f>'Prix des produits et services '!$E$16*'Objectifs de ventes (quantité)'!P16</f>
        <v>0</v>
      </c>
      <c r="Q16" s="18">
        <f>'Prix des produits et services '!$E$16*'Objectifs de ventes (quantité)'!Q16</f>
        <v>0</v>
      </c>
      <c r="R16" s="18">
        <f>'Prix des produits et services '!$E$16*'Objectifs de ventes (quantité)'!R16</f>
        <v>0</v>
      </c>
      <c r="S16" s="18">
        <f>'Prix des produits et services '!$E$16*'Objectifs de ventes (quantité)'!S16</f>
        <v>0</v>
      </c>
      <c r="T16" s="18">
        <f>'Prix des produits et services '!$E$16*'Objectifs de ventes (quantité)'!T16</f>
        <v>0</v>
      </c>
      <c r="U16" s="18">
        <f>'Prix des produits et services '!$E$16*'Objectifs de ventes (quantité)'!U16</f>
        <v>0</v>
      </c>
      <c r="V16" s="18">
        <f>'Prix des produits et services '!$E$16*'Objectifs de ventes (quantité)'!V16</f>
        <v>0</v>
      </c>
      <c r="W16" s="18">
        <f>'Prix des produits et services '!$E$16*'Objectifs de ventes (quantité)'!W16</f>
        <v>0</v>
      </c>
      <c r="X16" s="18">
        <f>'Prix des produits et services '!$E$16*'Objectifs de ventes (quantité)'!X16</f>
        <v>0</v>
      </c>
      <c r="Y16" s="18">
        <f>'Prix des produits et services '!$E$16*'Objectifs de ventes (quantité)'!Y16</f>
        <v>0</v>
      </c>
      <c r="Z16" s="18">
        <f>'Prix des produits et services '!$E$16*'Objectifs de ventes (quantité)'!Z16</f>
        <v>0</v>
      </c>
      <c r="AA16" s="18">
        <f>'Prix des produits et services '!$E$16*'Objectifs de ventes (quantité)'!AA16</f>
        <v>0</v>
      </c>
      <c r="AB16" s="99">
        <f t="shared" si="1"/>
        <v>0</v>
      </c>
      <c r="AC16" s="18">
        <f>'Prix des produits et services '!$F$16*'Objectifs de ventes (quantité)'!AC16</f>
        <v>0</v>
      </c>
      <c r="AD16" s="18">
        <f>'Prix des produits et services '!$F$16*'Objectifs de ventes (quantité)'!AD16</f>
        <v>0</v>
      </c>
      <c r="AE16" s="18">
        <f>'Prix des produits et services '!$F$16*'Objectifs de ventes (quantité)'!AE16</f>
        <v>0</v>
      </c>
      <c r="AF16" s="18">
        <f>'Prix des produits et services '!$F$16*'Objectifs de ventes (quantité)'!AF16</f>
        <v>0</v>
      </c>
      <c r="AG16" s="18">
        <f>'Prix des produits et services '!$F$16*'Objectifs de ventes (quantité)'!AG16</f>
        <v>0</v>
      </c>
      <c r="AH16" s="18">
        <f>'Prix des produits et services '!$F$16*'Objectifs de ventes (quantité)'!AH16</f>
        <v>0</v>
      </c>
      <c r="AI16" s="18">
        <f>'Prix des produits et services '!$F$16*'Objectifs de ventes (quantité)'!AI16</f>
        <v>0</v>
      </c>
      <c r="AJ16" s="18">
        <f>'Prix des produits et services '!$F$16*'Objectifs de ventes (quantité)'!AJ16</f>
        <v>0</v>
      </c>
      <c r="AK16" s="18">
        <f>'Prix des produits et services '!$F$16*'Objectifs de ventes (quantité)'!AK16</f>
        <v>0</v>
      </c>
      <c r="AL16" s="18">
        <f>'Prix des produits et services '!$F$16*'Objectifs de ventes (quantité)'!AL16</f>
        <v>0</v>
      </c>
      <c r="AM16" s="18">
        <f>'Prix des produits et services '!$F$16*'Objectifs de ventes (quantité)'!AM16</f>
        <v>0</v>
      </c>
      <c r="AN16" s="18">
        <f>'Prix des produits et services '!$F$16*'Objectifs de ventes (quantité)'!AN16</f>
        <v>0</v>
      </c>
      <c r="AO16" s="99">
        <f t="shared" si="2"/>
        <v>0</v>
      </c>
      <c r="AP16" s="18">
        <f>'Prix des produits et services '!$G$16*'Objectifs de ventes (quantité)'!AP16</f>
        <v>0</v>
      </c>
      <c r="AQ16" s="18">
        <f>'Prix des produits et services '!$G$16*'Objectifs de ventes (quantité)'!AQ16</f>
        <v>0</v>
      </c>
      <c r="AR16" s="18">
        <f>'Prix des produits et services '!$G$16*'Objectifs de ventes (quantité)'!AR16</f>
        <v>0</v>
      </c>
      <c r="AS16" s="18">
        <f>'Prix des produits et services '!$G$16*'Objectifs de ventes (quantité)'!AS16</f>
        <v>0</v>
      </c>
      <c r="AT16" s="18">
        <f>'Prix des produits et services '!$G$16*'Objectifs de ventes (quantité)'!AT16</f>
        <v>0</v>
      </c>
      <c r="AU16" s="18">
        <f>'Prix des produits et services '!$G$16*'Objectifs de ventes (quantité)'!AU16</f>
        <v>0</v>
      </c>
      <c r="AV16" s="18">
        <f>'Prix des produits et services '!$G$16*'Objectifs de ventes (quantité)'!AV16</f>
        <v>0</v>
      </c>
      <c r="AW16" s="18">
        <f>'Prix des produits et services '!$G$16*'Objectifs de ventes (quantité)'!AW16</f>
        <v>0</v>
      </c>
      <c r="AX16" s="18">
        <f>'Prix des produits et services '!$G$16*'Objectifs de ventes (quantité)'!AX16</f>
        <v>0</v>
      </c>
      <c r="AY16" s="18">
        <f>'Prix des produits et services '!$G$16*'Objectifs de ventes (quantité)'!AY16</f>
        <v>0</v>
      </c>
      <c r="AZ16" s="18">
        <f>'Prix des produits et services '!$G$16*'Objectifs de ventes (quantité)'!AZ16</f>
        <v>0</v>
      </c>
      <c r="BA16" s="18">
        <f>'Prix des produits et services '!$G$16*'Objectifs de ventes (quantité)'!BA16</f>
        <v>0</v>
      </c>
      <c r="BB16" s="99">
        <f t="shared" si="3"/>
        <v>0</v>
      </c>
      <c r="BC16" s="18">
        <f>'Prix des produits et services '!$H$16*'Objectifs de ventes (quantité)'!BC16</f>
        <v>0</v>
      </c>
      <c r="BD16" s="18">
        <f>'Prix des produits et services '!$H$16*'Objectifs de ventes (quantité)'!BD16</f>
        <v>0</v>
      </c>
      <c r="BE16" s="18">
        <f>'Prix des produits et services '!$H$16*'Objectifs de ventes (quantité)'!BE16</f>
        <v>0</v>
      </c>
      <c r="BF16" s="18">
        <f>'Prix des produits et services '!$H$16*'Objectifs de ventes (quantité)'!BF16</f>
        <v>0</v>
      </c>
      <c r="BG16" s="18">
        <f>'Prix des produits et services '!$H$16*'Objectifs de ventes (quantité)'!BG16</f>
        <v>0</v>
      </c>
      <c r="BH16" s="18">
        <f>'Prix des produits et services '!$H$16*'Objectifs de ventes (quantité)'!BH16</f>
        <v>0</v>
      </c>
      <c r="BI16" s="18">
        <f>'Prix des produits et services '!$H$16*'Objectifs de ventes (quantité)'!BI16</f>
        <v>0</v>
      </c>
      <c r="BJ16" s="18">
        <f>'Prix des produits et services '!$H$16*'Objectifs de ventes (quantité)'!BJ16</f>
        <v>0</v>
      </c>
      <c r="BK16" s="18">
        <f>'Prix des produits et services '!$H$16*'Objectifs de ventes (quantité)'!BK16</f>
        <v>0</v>
      </c>
      <c r="BL16" s="18">
        <f>'Prix des produits et services '!$H$16*'Objectifs de ventes (quantité)'!BL16</f>
        <v>0</v>
      </c>
      <c r="BM16" s="18">
        <f>'Prix des produits et services '!$H$16*'Objectifs de ventes (quantité)'!BM16</f>
        <v>0</v>
      </c>
      <c r="BN16" s="18">
        <f>'Prix des produits et services '!$H$16*'Objectifs de ventes (quantité)'!BN16</f>
        <v>0</v>
      </c>
      <c r="BO16" s="99">
        <f t="shared" si="4"/>
        <v>0</v>
      </c>
    </row>
    <row r="17" spans="1:67" x14ac:dyDescent="0.3">
      <c r="A17" s="5" t="str">
        <f>'Prix des produits et services '!B17</f>
        <v>Produit ou Service 16</v>
      </c>
      <c r="B17" s="1">
        <f>'Prix des produits et services '!C17</f>
        <v>0</v>
      </c>
      <c r="C17" s="18">
        <f>'Prix des produits et services '!$D$17*'Objectifs de ventes (quantité)'!C17</f>
        <v>0</v>
      </c>
      <c r="D17" s="18">
        <f>'Prix des produits et services '!$D$17*'Objectifs de ventes (quantité)'!D17</f>
        <v>0</v>
      </c>
      <c r="E17" s="18">
        <f>'Prix des produits et services '!$D$17*'Objectifs de ventes (quantité)'!E17</f>
        <v>0</v>
      </c>
      <c r="F17" s="18">
        <f>'Prix des produits et services '!$D$17*'Objectifs de ventes (quantité)'!F17</f>
        <v>0</v>
      </c>
      <c r="G17" s="18">
        <f>'Prix des produits et services '!$D$17*'Objectifs de ventes (quantité)'!G17</f>
        <v>0</v>
      </c>
      <c r="H17" s="18">
        <f>'Prix des produits et services '!$D$17*'Objectifs de ventes (quantité)'!H17</f>
        <v>0</v>
      </c>
      <c r="I17" s="18">
        <f>'Prix des produits et services '!$D$17*'Objectifs de ventes (quantité)'!I17</f>
        <v>0</v>
      </c>
      <c r="J17" s="18">
        <f>'Prix des produits et services '!$D$17*'Objectifs de ventes (quantité)'!J17</f>
        <v>0</v>
      </c>
      <c r="K17" s="18">
        <f>'Prix des produits et services '!$D$17*'Objectifs de ventes (quantité)'!K17</f>
        <v>0</v>
      </c>
      <c r="L17" s="18">
        <f>'Prix des produits et services '!$D$17*'Objectifs de ventes (quantité)'!L17</f>
        <v>0</v>
      </c>
      <c r="M17" s="18">
        <f>'Prix des produits et services '!$D$17*'Objectifs de ventes (quantité)'!M17</f>
        <v>0</v>
      </c>
      <c r="N17" s="18">
        <f>'Prix des produits et services '!$D$17*'Objectifs de ventes (quantité)'!N17</f>
        <v>0</v>
      </c>
      <c r="O17" s="99">
        <f t="shared" si="0"/>
        <v>0</v>
      </c>
      <c r="P17" s="18">
        <f>'Prix des produits et services '!$E$17*'Objectifs de ventes (quantité)'!P17</f>
        <v>0</v>
      </c>
      <c r="Q17" s="18">
        <f>'Prix des produits et services '!$E$17*'Objectifs de ventes (quantité)'!Q17</f>
        <v>0</v>
      </c>
      <c r="R17" s="18">
        <f>'Prix des produits et services '!$E$17*'Objectifs de ventes (quantité)'!R17</f>
        <v>0</v>
      </c>
      <c r="S17" s="18">
        <f>'Prix des produits et services '!$E$17*'Objectifs de ventes (quantité)'!S17</f>
        <v>0</v>
      </c>
      <c r="T17" s="18">
        <f>'Prix des produits et services '!$E$17*'Objectifs de ventes (quantité)'!T17</f>
        <v>0</v>
      </c>
      <c r="U17" s="18">
        <f>'Prix des produits et services '!$E$17*'Objectifs de ventes (quantité)'!U17</f>
        <v>0</v>
      </c>
      <c r="V17" s="18">
        <f>'Prix des produits et services '!$E$17*'Objectifs de ventes (quantité)'!V17</f>
        <v>0</v>
      </c>
      <c r="W17" s="18">
        <f>'Prix des produits et services '!$E$17*'Objectifs de ventes (quantité)'!W17</f>
        <v>0</v>
      </c>
      <c r="X17" s="18">
        <f>'Prix des produits et services '!$E$17*'Objectifs de ventes (quantité)'!X17</f>
        <v>0</v>
      </c>
      <c r="Y17" s="18">
        <f>'Prix des produits et services '!$E$17*'Objectifs de ventes (quantité)'!Y17</f>
        <v>0</v>
      </c>
      <c r="Z17" s="18">
        <f>'Prix des produits et services '!$E$17*'Objectifs de ventes (quantité)'!Z17</f>
        <v>0</v>
      </c>
      <c r="AA17" s="18">
        <f>'Prix des produits et services '!$E$17*'Objectifs de ventes (quantité)'!AA17</f>
        <v>0</v>
      </c>
      <c r="AB17" s="99">
        <f t="shared" si="1"/>
        <v>0</v>
      </c>
      <c r="AC17" s="18">
        <f>'Prix des produits et services '!$F$17*'Objectifs de ventes (quantité)'!AC17</f>
        <v>0</v>
      </c>
      <c r="AD17" s="18">
        <f>'Prix des produits et services '!$F$17*'Objectifs de ventes (quantité)'!AD17</f>
        <v>0</v>
      </c>
      <c r="AE17" s="18">
        <f>'Prix des produits et services '!$F$17*'Objectifs de ventes (quantité)'!AE17</f>
        <v>0</v>
      </c>
      <c r="AF17" s="18">
        <f>'Prix des produits et services '!$F$17*'Objectifs de ventes (quantité)'!AF17</f>
        <v>0</v>
      </c>
      <c r="AG17" s="18">
        <f>'Prix des produits et services '!$F$17*'Objectifs de ventes (quantité)'!AG17</f>
        <v>0</v>
      </c>
      <c r="AH17" s="18">
        <f>'Prix des produits et services '!$F$17*'Objectifs de ventes (quantité)'!AH17</f>
        <v>0</v>
      </c>
      <c r="AI17" s="18">
        <f>'Prix des produits et services '!$F$17*'Objectifs de ventes (quantité)'!AI17</f>
        <v>0</v>
      </c>
      <c r="AJ17" s="18">
        <f>'Prix des produits et services '!$F$17*'Objectifs de ventes (quantité)'!AJ17</f>
        <v>0</v>
      </c>
      <c r="AK17" s="18">
        <f>'Prix des produits et services '!$F$17*'Objectifs de ventes (quantité)'!AK17</f>
        <v>0</v>
      </c>
      <c r="AL17" s="18">
        <f>'Prix des produits et services '!$F$17*'Objectifs de ventes (quantité)'!AL17</f>
        <v>0</v>
      </c>
      <c r="AM17" s="18">
        <f>'Prix des produits et services '!$F$17*'Objectifs de ventes (quantité)'!AM17</f>
        <v>0</v>
      </c>
      <c r="AN17" s="18">
        <f>'Prix des produits et services '!$F$17*'Objectifs de ventes (quantité)'!AN17</f>
        <v>0</v>
      </c>
      <c r="AO17" s="99">
        <f t="shared" si="2"/>
        <v>0</v>
      </c>
      <c r="AP17" s="18">
        <f>'Prix des produits et services '!$G$17*'Objectifs de ventes (quantité)'!AP17</f>
        <v>0</v>
      </c>
      <c r="AQ17" s="18">
        <f>'Prix des produits et services '!$G$17*'Objectifs de ventes (quantité)'!AQ17</f>
        <v>0</v>
      </c>
      <c r="AR17" s="18">
        <f>'Prix des produits et services '!$G$17*'Objectifs de ventes (quantité)'!AR17</f>
        <v>0</v>
      </c>
      <c r="AS17" s="18">
        <f>'Prix des produits et services '!$G$17*'Objectifs de ventes (quantité)'!AS17</f>
        <v>0</v>
      </c>
      <c r="AT17" s="18">
        <f>'Prix des produits et services '!$G$17*'Objectifs de ventes (quantité)'!AT17</f>
        <v>0</v>
      </c>
      <c r="AU17" s="18">
        <f>'Prix des produits et services '!$G$17*'Objectifs de ventes (quantité)'!AU17</f>
        <v>0</v>
      </c>
      <c r="AV17" s="18">
        <f>'Prix des produits et services '!$G$17*'Objectifs de ventes (quantité)'!AV17</f>
        <v>0</v>
      </c>
      <c r="AW17" s="18">
        <f>'Prix des produits et services '!$G$17*'Objectifs de ventes (quantité)'!AW17</f>
        <v>0</v>
      </c>
      <c r="AX17" s="18">
        <f>'Prix des produits et services '!$G$17*'Objectifs de ventes (quantité)'!AX17</f>
        <v>0</v>
      </c>
      <c r="AY17" s="18">
        <f>'Prix des produits et services '!$G$17*'Objectifs de ventes (quantité)'!AY17</f>
        <v>0</v>
      </c>
      <c r="AZ17" s="18">
        <f>'Prix des produits et services '!$G$17*'Objectifs de ventes (quantité)'!AZ17</f>
        <v>0</v>
      </c>
      <c r="BA17" s="18">
        <f>'Prix des produits et services '!$G$17*'Objectifs de ventes (quantité)'!BA17</f>
        <v>0</v>
      </c>
      <c r="BB17" s="99">
        <f t="shared" si="3"/>
        <v>0</v>
      </c>
      <c r="BC17" s="18">
        <f>'Prix des produits et services '!$H$17*'Objectifs de ventes (quantité)'!BC17</f>
        <v>0</v>
      </c>
      <c r="BD17" s="18">
        <f>'Prix des produits et services '!$H$17*'Objectifs de ventes (quantité)'!BD17</f>
        <v>0</v>
      </c>
      <c r="BE17" s="18">
        <f>'Prix des produits et services '!$H$17*'Objectifs de ventes (quantité)'!BE17</f>
        <v>0</v>
      </c>
      <c r="BF17" s="18">
        <f>'Prix des produits et services '!$H$17*'Objectifs de ventes (quantité)'!BF17</f>
        <v>0</v>
      </c>
      <c r="BG17" s="18">
        <f>'Prix des produits et services '!$H$17*'Objectifs de ventes (quantité)'!BG17</f>
        <v>0</v>
      </c>
      <c r="BH17" s="18">
        <f>'Prix des produits et services '!$H$17*'Objectifs de ventes (quantité)'!BH17</f>
        <v>0</v>
      </c>
      <c r="BI17" s="18">
        <f>'Prix des produits et services '!$H$17*'Objectifs de ventes (quantité)'!BI17</f>
        <v>0</v>
      </c>
      <c r="BJ17" s="18">
        <f>'Prix des produits et services '!$H$17*'Objectifs de ventes (quantité)'!BJ17</f>
        <v>0</v>
      </c>
      <c r="BK17" s="18">
        <f>'Prix des produits et services '!$H$17*'Objectifs de ventes (quantité)'!BK17</f>
        <v>0</v>
      </c>
      <c r="BL17" s="18">
        <f>'Prix des produits et services '!$H$17*'Objectifs de ventes (quantité)'!BL17</f>
        <v>0</v>
      </c>
      <c r="BM17" s="18">
        <f>'Prix des produits et services '!$H$17*'Objectifs de ventes (quantité)'!BM17</f>
        <v>0</v>
      </c>
      <c r="BN17" s="18">
        <f>'Prix des produits et services '!$H$17*'Objectifs de ventes (quantité)'!BN17</f>
        <v>0</v>
      </c>
      <c r="BO17" s="99">
        <f t="shared" si="4"/>
        <v>0</v>
      </c>
    </row>
    <row r="18" spans="1:67" x14ac:dyDescent="0.3">
      <c r="A18" s="5" t="str">
        <f>'Prix des produits et services '!B18</f>
        <v>Produit ou Service 17</v>
      </c>
      <c r="B18" s="1">
        <f>'Prix des produits et services '!C18</f>
        <v>0</v>
      </c>
      <c r="C18" s="18">
        <f>'Prix des produits et services '!$D$18*'Objectifs de ventes (quantité)'!C18</f>
        <v>0</v>
      </c>
      <c r="D18" s="18">
        <f>'Prix des produits et services '!$D$18*'Objectifs de ventes (quantité)'!D18</f>
        <v>0</v>
      </c>
      <c r="E18" s="18">
        <f>'Prix des produits et services '!$D$18*'Objectifs de ventes (quantité)'!E18</f>
        <v>0</v>
      </c>
      <c r="F18" s="18">
        <f>'Prix des produits et services '!$D$18*'Objectifs de ventes (quantité)'!F18</f>
        <v>0</v>
      </c>
      <c r="G18" s="18">
        <f>'Prix des produits et services '!$D$18*'Objectifs de ventes (quantité)'!G18</f>
        <v>0</v>
      </c>
      <c r="H18" s="18">
        <f>'Prix des produits et services '!$D$18*'Objectifs de ventes (quantité)'!H18</f>
        <v>0</v>
      </c>
      <c r="I18" s="18">
        <f>'Prix des produits et services '!$D$18*'Objectifs de ventes (quantité)'!I18</f>
        <v>0</v>
      </c>
      <c r="J18" s="18">
        <f>'Prix des produits et services '!$D$18*'Objectifs de ventes (quantité)'!J18</f>
        <v>0</v>
      </c>
      <c r="K18" s="18">
        <f>'Prix des produits et services '!$D$18*'Objectifs de ventes (quantité)'!K18</f>
        <v>0</v>
      </c>
      <c r="L18" s="18">
        <f>'Prix des produits et services '!$D$18*'Objectifs de ventes (quantité)'!L18</f>
        <v>0</v>
      </c>
      <c r="M18" s="18">
        <f>'Prix des produits et services '!$D$18*'Objectifs de ventes (quantité)'!M18</f>
        <v>0</v>
      </c>
      <c r="N18" s="18">
        <f>'Prix des produits et services '!$D$18*'Objectifs de ventes (quantité)'!N18</f>
        <v>0</v>
      </c>
      <c r="O18" s="99">
        <f t="shared" si="0"/>
        <v>0</v>
      </c>
      <c r="P18" s="18">
        <f>'Prix des produits et services '!$E$18*'Objectifs de ventes (quantité)'!P18</f>
        <v>0</v>
      </c>
      <c r="Q18" s="18">
        <f>'Prix des produits et services '!$E$18*'Objectifs de ventes (quantité)'!Q18</f>
        <v>0</v>
      </c>
      <c r="R18" s="18">
        <f>'Prix des produits et services '!$E$18*'Objectifs de ventes (quantité)'!R18</f>
        <v>0</v>
      </c>
      <c r="S18" s="18">
        <f>'Prix des produits et services '!$E$18*'Objectifs de ventes (quantité)'!S18</f>
        <v>0</v>
      </c>
      <c r="T18" s="18">
        <f>'Prix des produits et services '!$E$18*'Objectifs de ventes (quantité)'!T18</f>
        <v>0</v>
      </c>
      <c r="U18" s="18">
        <f>'Prix des produits et services '!$E$18*'Objectifs de ventes (quantité)'!U18</f>
        <v>0</v>
      </c>
      <c r="V18" s="18">
        <f>'Prix des produits et services '!$E$18*'Objectifs de ventes (quantité)'!V18</f>
        <v>0</v>
      </c>
      <c r="W18" s="18">
        <f>'Prix des produits et services '!$E$18*'Objectifs de ventes (quantité)'!W18</f>
        <v>0</v>
      </c>
      <c r="X18" s="18">
        <f>'Prix des produits et services '!$E$18*'Objectifs de ventes (quantité)'!X18</f>
        <v>0</v>
      </c>
      <c r="Y18" s="18">
        <f>'Prix des produits et services '!$E$18*'Objectifs de ventes (quantité)'!Y18</f>
        <v>0</v>
      </c>
      <c r="Z18" s="18">
        <f>'Prix des produits et services '!$E$18*'Objectifs de ventes (quantité)'!Z18</f>
        <v>0</v>
      </c>
      <c r="AA18" s="18">
        <f>'Prix des produits et services '!$E$18*'Objectifs de ventes (quantité)'!AA18</f>
        <v>0</v>
      </c>
      <c r="AB18" s="99">
        <f t="shared" si="1"/>
        <v>0</v>
      </c>
      <c r="AC18" s="18">
        <f>'Prix des produits et services '!$F$18*'Objectifs de ventes (quantité)'!AC18</f>
        <v>0</v>
      </c>
      <c r="AD18" s="18">
        <f>'Prix des produits et services '!$F$18*'Objectifs de ventes (quantité)'!AD18</f>
        <v>0</v>
      </c>
      <c r="AE18" s="18">
        <f>'Prix des produits et services '!$F$18*'Objectifs de ventes (quantité)'!AE18</f>
        <v>0</v>
      </c>
      <c r="AF18" s="18">
        <f>'Prix des produits et services '!$F$18*'Objectifs de ventes (quantité)'!AF18</f>
        <v>0</v>
      </c>
      <c r="AG18" s="18">
        <f>'Prix des produits et services '!$F$18*'Objectifs de ventes (quantité)'!AG18</f>
        <v>0</v>
      </c>
      <c r="AH18" s="18">
        <f>'Prix des produits et services '!$F$18*'Objectifs de ventes (quantité)'!AH18</f>
        <v>0</v>
      </c>
      <c r="AI18" s="18">
        <f>'Prix des produits et services '!$F$18*'Objectifs de ventes (quantité)'!AI18</f>
        <v>0</v>
      </c>
      <c r="AJ18" s="18">
        <f>'Prix des produits et services '!$F$18*'Objectifs de ventes (quantité)'!AJ18</f>
        <v>0</v>
      </c>
      <c r="AK18" s="18">
        <f>'Prix des produits et services '!$F$18*'Objectifs de ventes (quantité)'!AK18</f>
        <v>0</v>
      </c>
      <c r="AL18" s="18">
        <f>'Prix des produits et services '!$F$18*'Objectifs de ventes (quantité)'!AL18</f>
        <v>0</v>
      </c>
      <c r="AM18" s="18">
        <f>'Prix des produits et services '!$F$18*'Objectifs de ventes (quantité)'!AM18</f>
        <v>0</v>
      </c>
      <c r="AN18" s="18">
        <f>'Prix des produits et services '!$F$18*'Objectifs de ventes (quantité)'!AN18</f>
        <v>0</v>
      </c>
      <c r="AO18" s="99">
        <f t="shared" si="2"/>
        <v>0</v>
      </c>
      <c r="AP18" s="18">
        <f>'Prix des produits et services '!$G$18*'Objectifs de ventes (quantité)'!AP18</f>
        <v>0</v>
      </c>
      <c r="AQ18" s="18">
        <f>'Prix des produits et services '!$G$18*'Objectifs de ventes (quantité)'!AQ18</f>
        <v>0</v>
      </c>
      <c r="AR18" s="18">
        <f>'Prix des produits et services '!$G$18*'Objectifs de ventes (quantité)'!AR18</f>
        <v>0</v>
      </c>
      <c r="AS18" s="18">
        <f>'Prix des produits et services '!$G$18*'Objectifs de ventes (quantité)'!AS18</f>
        <v>0</v>
      </c>
      <c r="AT18" s="18">
        <f>'Prix des produits et services '!$G$18*'Objectifs de ventes (quantité)'!AT18</f>
        <v>0</v>
      </c>
      <c r="AU18" s="18">
        <f>'Prix des produits et services '!$G$18*'Objectifs de ventes (quantité)'!AU18</f>
        <v>0</v>
      </c>
      <c r="AV18" s="18">
        <f>'Prix des produits et services '!$G$18*'Objectifs de ventes (quantité)'!AV18</f>
        <v>0</v>
      </c>
      <c r="AW18" s="18">
        <f>'Prix des produits et services '!$G$18*'Objectifs de ventes (quantité)'!AW18</f>
        <v>0</v>
      </c>
      <c r="AX18" s="18">
        <f>'Prix des produits et services '!$G$18*'Objectifs de ventes (quantité)'!AX18</f>
        <v>0</v>
      </c>
      <c r="AY18" s="18">
        <f>'Prix des produits et services '!$G$18*'Objectifs de ventes (quantité)'!AY18</f>
        <v>0</v>
      </c>
      <c r="AZ18" s="18">
        <f>'Prix des produits et services '!$G$18*'Objectifs de ventes (quantité)'!AZ18</f>
        <v>0</v>
      </c>
      <c r="BA18" s="18">
        <f>'Prix des produits et services '!$G$18*'Objectifs de ventes (quantité)'!BA18</f>
        <v>0</v>
      </c>
      <c r="BB18" s="99">
        <f t="shared" si="3"/>
        <v>0</v>
      </c>
      <c r="BC18" s="18">
        <f>'Prix des produits et services '!$H$18*'Objectifs de ventes (quantité)'!BC18</f>
        <v>0</v>
      </c>
      <c r="BD18" s="18">
        <f>'Prix des produits et services '!$H$18*'Objectifs de ventes (quantité)'!BD18</f>
        <v>0</v>
      </c>
      <c r="BE18" s="18">
        <f>'Prix des produits et services '!$H$18*'Objectifs de ventes (quantité)'!BE18</f>
        <v>0</v>
      </c>
      <c r="BF18" s="18">
        <f>'Prix des produits et services '!$H$18*'Objectifs de ventes (quantité)'!BF18</f>
        <v>0</v>
      </c>
      <c r="BG18" s="18">
        <f>'Prix des produits et services '!$H$18*'Objectifs de ventes (quantité)'!BG18</f>
        <v>0</v>
      </c>
      <c r="BH18" s="18">
        <f>'Prix des produits et services '!$H$18*'Objectifs de ventes (quantité)'!BH18</f>
        <v>0</v>
      </c>
      <c r="BI18" s="18">
        <f>'Prix des produits et services '!$H$18*'Objectifs de ventes (quantité)'!BI18</f>
        <v>0</v>
      </c>
      <c r="BJ18" s="18">
        <f>'Prix des produits et services '!$H$18*'Objectifs de ventes (quantité)'!BJ18</f>
        <v>0</v>
      </c>
      <c r="BK18" s="18">
        <f>'Prix des produits et services '!$H$18*'Objectifs de ventes (quantité)'!BK18</f>
        <v>0</v>
      </c>
      <c r="BL18" s="18">
        <f>'Prix des produits et services '!$H$18*'Objectifs de ventes (quantité)'!BL18</f>
        <v>0</v>
      </c>
      <c r="BM18" s="18">
        <f>'Prix des produits et services '!$H$18*'Objectifs de ventes (quantité)'!BM18</f>
        <v>0</v>
      </c>
      <c r="BN18" s="18">
        <f>'Prix des produits et services '!$H$18*'Objectifs de ventes (quantité)'!BN18</f>
        <v>0</v>
      </c>
      <c r="BO18" s="99">
        <f t="shared" si="4"/>
        <v>0</v>
      </c>
    </row>
    <row r="19" spans="1:67" x14ac:dyDescent="0.3">
      <c r="A19" s="5" t="str">
        <f>'Prix des produits et services '!B19</f>
        <v>Produit ou Service 18</v>
      </c>
      <c r="B19" s="1">
        <f>'Prix des produits et services '!C19</f>
        <v>0</v>
      </c>
      <c r="C19" s="18">
        <f>'Prix des produits et services '!$D$19*'Objectifs de ventes (quantité)'!C19</f>
        <v>0</v>
      </c>
      <c r="D19" s="18">
        <f>'Prix des produits et services '!$D$19*'Objectifs de ventes (quantité)'!D19</f>
        <v>0</v>
      </c>
      <c r="E19" s="18">
        <f>'Prix des produits et services '!$D$19*'Objectifs de ventes (quantité)'!E19</f>
        <v>0</v>
      </c>
      <c r="F19" s="18">
        <f>'Prix des produits et services '!$D$19*'Objectifs de ventes (quantité)'!F19</f>
        <v>0</v>
      </c>
      <c r="G19" s="18">
        <f>'Prix des produits et services '!$D$19*'Objectifs de ventes (quantité)'!G19</f>
        <v>0</v>
      </c>
      <c r="H19" s="18">
        <f>'Prix des produits et services '!$D$19*'Objectifs de ventes (quantité)'!H19</f>
        <v>0</v>
      </c>
      <c r="I19" s="18">
        <f>'Prix des produits et services '!$D$19*'Objectifs de ventes (quantité)'!I19</f>
        <v>0</v>
      </c>
      <c r="J19" s="18">
        <f>'Prix des produits et services '!$D$19*'Objectifs de ventes (quantité)'!J19</f>
        <v>0</v>
      </c>
      <c r="K19" s="18">
        <f>'Prix des produits et services '!$D$19*'Objectifs de ventes (quantité)'!K19</f>
        <v>0</v>
      </c>
      <c r="L19" s="18">
        <f>'Prix des produits et services '!$D$19*'Objectifs de ventes (quantité)'!L19</f>
        <v>0</v>
      </c>
      <c r="M19" s="18">
        <f>'Prix des produits et services '!$D$19*'Objectifs de ventes (quantité)'!M19</f>
        <v>0</v>
      </c>
      <c r="N19" s="18">
        <f>'Prix des produits et services '!$D$19*'Objectifs de ventes (quantité)'!N19</f>
        <v>0</v>
      </c>
      <c r="O19" s="99">
        <f t="shared" si="0"/>
        <v>0</v>
      </c>
      <c r="P19" s="18">
        <f>'Prix des produits et services '!$E$19*'Objectifs de ventes (quantité)'!P19</f>
        <v>0</v>
      </c>
      <c r="Q19" s="18">
        <f>'Prix des produits et services '!$E$19*'Objectifs de ventes (quantité)'!Q19</f>
        <v>0</v>
      </c>
      <c r="R19" s="18">
        <f>'Prix des produits et services '!$E$19*'Objectifs de ventes (quantité)'!R19</f>
        <v>0</v>
      </c>
      <c r="S19" s="18">
        <f>'Prix des produits et services '!$E$19*'Objectifs de ventes (quantité)'!S19</f>
        <v>0</v>
      </c>
      <c r="T19" s="18">
        <f>'Prix des produits et services '!$E$19*'Objectifs de ventes (quantité)'!T19</f>
        <v>0</v>
      </c>
      <c r="U19" s="18">
        <f>'Prix des produits et services '!$E$19*'Objectifs de ventes (quantité)'!U19</f>
        <v>0</v>
      </c>
      <c r="V19" s="18">
        <f>'Prix des produits et services '!$E$19*'Objectifs de ventes (quantité)'!V19</f>
        <v>0</v>
      </c>
      <c r="W19" s="18">
        <f>'Prix des produits et services '!$E$19*'Objectifs de ventes (quantité)'!W19</f>
        <v>0</v>
      </c>
      <c r="X19" s="18">
        <f>'Prix des produits et services '!$E$19*'Objectifs de ventes (quantité)'!X19</f>
        <v>0</v>
      </c>
      <c r="Y19" s="18">
        <f>'Prix des produits et services '!$E$19*'Objectifs de ventes (quantité)'!Y19</f>
        <v>0</v>
      </c>
      <c r="Z19" s="18">
        <f>'Prix des produits et services '!$E$19*'Objectifs de ventes (quantité)'!Z19</f>
        <v>0</v>
      </c>
      <c r="AA19" s="18">
        <f>'Prix des produits et services '!$E$19*'Objectifs de ventes (quantité)'!AA19</f>
        <v>0</v>
      </c>
      <c r="AB19" s="99">
        <f t="shared" si="1"/>
        <v>0</v>
      </c>
      <c r="AC19" s="18">
        <f>'Prix des produits et services '!$F$19*'Objectifs de ventes (quantité)'!AC19</f>
        <v>0</v>
      </c>
      <c r="AD19" s="18">
        <f>'Prix des produits et services '!$F$19*'Objectifs de ventes (quantité)'!AD19</f>
        <v>0</v>
      </c>
      <c r="AE19" s="18">
        <f>'Prix des produits et services '!$F$19*'Objectifs de ventes (quantité)'!AE19</f>
        <v>0</v>
      </c>
      <c r="AF19" s="18">
        <f>'Prix des produits et services '!$F$19*'Objectifs de ventes (quantité)'!AF19</f>
        <v>0</v>
      </c>
      <c r="AG19" s="18">
        <f>'Prix des produits et services '!$F$19*'Objectifs de ventes (quantité)'!AG19</f>
        <v>0</v>
      </c>
      <c r="AH19" s="18">
        <f>'Prix des produits et services '!$F$19*'Objectifs de ventes (quantité)'!AH19</f>
        <v>0</v>
      </c>
      <c r="AI19" s="18">
        <f>'Prix des produits et services '!$F$19*'Objectifs de ventes (quantité)'!AI19</f>
        <v>0</v>
      </c>
      <c r="AJ19" s="18">
        <f>'Prix des produits et services '!$F$19*'Objectifs de ventes (quantité)'!AJ19</f>
        <v>0</v>
      </c>
      <c r="AK19" s="18">
        <f>'Prix des produits et services '!$F$19*'Objectifs de ventes (quantité)'!AK19</f>
        <v>0</v>
      </c>
      <c r="AL19" s="18">
        <f>'Prix des produits et services '!$F$19*'Objectifs de ventes (quantité)'!AL19</f>
        <v>0</v>
      </c>
      <c r="AM19" s="18">
        <f>'Prix des produits et services '!$F$19*'Objectifs de ventes (quantité)'!AM19</f>
        <v>0</v>
      </c>
      <c r="AN19" s="18">
        <f>'Prix des produits et services '!$F$19*'Objectifs de ventes (quantité)'!AN19</f>
        <v>0</v>
      </c>
      <c r="AO19" s="99">
        <f t="shared" si="2"/>
        <v>0</v>
      </c>
      <c r="AP19" s="18">
        <f>'Prix des produits et services '!$G$19*'Objectifs de ventes (quantité)'!AP19</f>
        <v>0</v>
      </c>
      <c r="AQ19" s="18">
        <f>'Prix des produits et services '!$G$19*'Objectifs de ventes (quantité)'!AQ19</f>
        <v>0</v>
      </c>
      <c r="AR19" s="18">
        <f>'Prix des produits et services '!$G$19*'Objectifs de ventes (quantité)'!AR19</f>
        <v>0</v>
      </c>
      <c r="AS19" s="18">
        <f>'Prix des produits et services '!$G$19*'Objectifs de ventes (quantité)'!AS19</f>
        <v>0</v>
      </c>
      <c r="AT19" s="18">
        <f>'Prix des produits et services '!$G$19*'Objectifs de ventes (quantité)'!AT19</f>
        <v>0</v>
      </c>
      <c r="AU19" s="18">
        <f>'Prix des produits et services '!$G$19*'Objectifs de ventes (quantité)'!AU19</f>
        <v>0</v>
      </c>
      <c r="AV19" s="18">
        <f>'Prix des produits et services '!$G$19*'Objectifs de ventes (quantité)'!AV19</f>
        <v>0</v>
      </c>
      <c r="AW19" s="18">
        <f>'Prix des produits et services '!$G$19*'Objectifs de ventes (quantité)'!AW19</f>
        <v>0</v>
      </c>
      <c r="AX19" s="18">
        <f>'Prix des produits et services '!$G$19*'Objectifs de ventes (quantité)'!AX19</f>
        <v>0</v>
      </c>
      <c r="AY19" s="18">
        <f>'Prix des produits et services '!$G$19*'Objectifs de ventes (quantité)'!AY19</f>
        <v>0</v>
      </c>
      <c r="AZ19" s="18">
        <f>'Prix des produits et services '!$G$19*'Objectifs de ventes (quantité)'!AZ19</f>
        <v>0</v>
      </c>
      <c r="BA19" s="18">
        <f>'Prix des produits et services '!$G$19*'Objectifs de ventes (quantité)'!BA19</f>
        <v>0</v>
      </c>
      <c r="BB19" s="99">
        <f t="shared" si="3"/>
        <v>0</v>
      </c>
      <c r="BC19" s="18">
        <f>'Prix des produits et services '!$H$19*'Objectifs de ventes (quantité)'!BC19</f>
        <v>0</v>
      </c>
      <c r="BD19" s="18">
        <f>'Prix des produits et services '!$H$19*'Objectifs de ventes (quantité)'!BD19</f>
        <v>0</v>
      </c>
      <c r="BE19" s="18">
        <f>'Prix des produits et services '!$H$19*'Objectifs de ventes (quantité)'!BE19</f>
        <v>0</v>
      </c>
      <c r="BF19" s="18">
        <f>'Prix des produits et services '!$H$19*'Objectifs de ventes (quantité)'!BF19</f>
        <v>0</v>
      </c>
      <c r="BG19" s="18">
        <f>'Prix des produits et services '!$H$19*'Objectifs de ventes (quantité)'!BG19</f>
        <v>0</v>
      </c>
      <c r="BH19" s="18">
        <f>'Prix des produits et services '!$H$19*'Objectifs de ventes (quantité)'!BH19</f>
        <v>0</v>
      </c>
      <c r="BI19" s="18">
        <f>'Prix des produits et services '!$H$19*'Objectifs de ventes (quantité)'!BI19</f>
        <v>0</v>
      </c>
      <c r="BJ19" s="18">
        <f>'Prix des produits et services '!$H$19*'Objectifs de ventes (quantité)'!BJ19</f>
        <v>0</v>
      </c>
      <c r="BK19" s="18">
        <f>'Prix des produits et services '!$H$19*'Objectifs de ventes (quantité)'!BK19</f>
        <v>0</v>
      </c>
      <c r="BL19" s="18">
        <f>'Prix des produits et services '!$H$19*'Objectifs de ventes (quantité)'!BL19</f>
        <v>0</v>
      </c>
      <c r="BM19" s="18">
        <f>'Prix des produits et services '!$H$19*'Objectifs de ventes (quantité)'!BM19</f>
        <v>0</v>
      </c>
      <c r="BN19" s="18">
        <f>'Prix des produits et services '!$H$19*'Objectifs de ventes (quantité)'!BN19</f>
        <v>0</v>
      </c>
      <c r="BO19" s="99">
        <f t="shared" si="4"/>
        <v>0</v>
      </c>
    </row>
    <row r="20" spans="1:67" x14ac:dyDescent="0.3">
      <c r="A20" s="5" t="str">
        <f>'Prix des produits et services '!B20</f>
        <v>Produit ou Service 19</v>
      </c>
      <c r="B20" s="1">
        <f>'Prix des produits et services '!C20</f>
        <v>0</v>
      </c>
      <c r="C20" s="18">
        <f>'Prix des produits et services '!$D$20*'Objectifs de ventes (quantité)'!C20</f>
        <v>0</v>
      </c>
      <c r="D20" s="18">
        <f>'Prix des produits et services '!$D$20*'Objectifs de ventes (quantité)'!D20</f>
        <v>0</v>
      </c>
      <c r="E20" s="18">
        <f>'Prix des produits et services '!$D$20*'Objectifs de ventes (quantité)'!E20</f>
        <v>0</v>
      </c>
      <c r="F20" s="18">
        <f>'Prix des produits et services '!$D$20*'Objectifs de ventes (quantité)'!F20</f>
        <v>0</v>
      </c>
      <c r="G20" s="18">
        <f>'Prix des produits et services '!$D$20*'Objectifs de ventes (quantité)'!G20</f>
        <v>0</v>
      </c>
      <c r="H20" s="18">
        <f>'Prix des produits et services '!$D$20*'Objectifs de ventes (quantité)'!H20</f>
        <v>0</v>
      </c>
      <c r="I20" s="18">
        <f>'Prix des produits et services '!$D$20*'Objectifs de ventes (quantité)'!I20</f>
        <v>0</v>
      </c>
      <c r="J20" s="18">
        <f>'Prix des produits et services '!$D$20*'Objectifs de ventes (quantité)'!J20</f>
        <v>0</v>
      </c>
      <c r="K20" s="18">
        <f>'Prix des produits et services '!$D$20*'Objectifs de ventes (quantité)'!K20</f>
        <v>0</v>
      </c>
      <c r="L20" s="18">
        <f>'Prix des produits et services '!$D$20*'Objectifs de ventes (quantité)'!L20</f>
        <v>0</v>
      </c>
      <c r="M20" s="18">
        <f>'Prix des produits et services '!$D$20*'Objectifs de ventes (quantité)'!M20</f>
        <v>0</v>
      </c>
      <c r="N20" s="18">
        <f>'Prix des produits et services '!$D$20*'Objectifs de ventes (quantité)'!N20</f>
        <v>0</v>
      </c>
      <c r="O20" s="99">
        <f t="shared" si="0"/>
        <v>0</v>
      </c>
      <c r="P20" s="18">
        <f>'Prix des produits et services '!$E$20*'Objectifs de ventes (quantité)'!P20</f>
        <v>0</v>
      </c>
      <c r="Q20" s="18">
        <f>'Prix des produits et services '!$E$20*'Objectifs de ventes (quantité)'!Q20</f>
        <v>0</v>
      </c>
      <c r="R20" s="18">
        <f>'Prix des produits et services '!$E$20*'Objectifs de ventes (quantité)'!R20</f>
        <v>0</v>
      </c>
      <c r="S20" s="18">
        <f>'Prix des produits et services '!$E$20*'Objectifs de ventes (quantité)'!S20</f>
        <v>0</v>
      </c>
      <c r="T20" s="18">
        <f>'Prix des produits et services '!$E$20*'Objectifs de ventes (quantité)'!T20</f>
        <v>0</v>
      </c>
      <c r="U20" s="18">
        <f>'Prix des produits et services '!$E$20*'Objectifs de ventes (quantité)'!U20</f>
        <v>0</v>
      </c>
      <c r="V20" s="18">
        <f>'Prix des produits et services '!$E$20*'Objectifs de ventes (quantité)'!V20</f>
        <v>0</v>
      </c>
      <c r="W20" s="18">
        <f>'Prix des produits et services '!$E$20*'Objectifs de ventes (quantité)'!W20</f>
        <v>0</v>
      </c>
      <c r="X20" s="18">
        <f>'Prix des produits et services '!$E$20*'Objectifs de ventes (quantité)'!X20</f>
        <v>0</v>
      </c>
      <c r="Y20" s="18">
        <f>'Prix des produits et services '!$E$20*'Objectifs de ventes (quantité)'!Y20</f>
        <v>0</v>
      </c>
      <c r="Z20" s="18">
        <f>'Prix des produits et services '!$E$20*'Objectifs de ventes (quantité)'!Z20</f>
        <v>0</v>
      </c>
      <c r="AA20" s="18">
        <f>'Prix des produits et services '!$E$20*'Objectifs de ventes (quantité)'!AA20</f>
        <v>0</v>
      </c>
      <c r="AB20" s="99">
        <f t="shared" si="1"/>
        <v>0</v>
      </c>
      <c r="AC20" s="18">
        <f>'Prix des produits et services '!F20*'Objectifs de ventes (quantité)'!AC20</f>
        <v>0</v>
      </c>
      <c r="AD20" s="18">
        <f>'Prix des produits et services '!G20*'Objectifs de ventes (quantité)'!AD20</f>
        <v>0</v>
      </c>
      <c r="AE20" s="18">
        <f>'Prix des produits et services '!H20*'Objectifs de ventes (quantité)'!AE20</f>
        <v>0</v>
      </c>
      <c r="AF20" s="18">
        <f>'Prix des produits et services '!I20*'Objectifs de ventes (quantité)'!AF20</f>
        <v>0</v>
      </c>
      <c r="AG20" s="18">
        <f>'Prix des produits et services '!J20*'Objectifs de ventes (quantité)'!AG20</f>
        <v>0</v>
      </c>
      <c r="AH20" s="18">
        <f>'Prix des produits et services '!K20*'Objectifs de ventes (quantité)'!AH20</f>
        <v>0</v>
      </c>
      <c r="AI20" s="18">
        <f>'Prix des produits et services '!L20*'Objectifs de ventes (quantité)'!AI20</f>
        <v>0</v>
      </c>
      <c r="AJ20" s="18">
        <f>'Prix des produits et services '!M20*'Objectifs de ventes (quantité)'!AJ20</f>
        <v>0</v>
      </c>
      <c r="AK20" s="18">
        <f>'Prix des produits et services '!N20*'Objectifs de ventes (quantité)'!AK20</f>
        <v>0</v>
      </c>
      <c r="AL20" s="18">
        <f>'Prix des produits et services '!O20*'Objectifs de ventes (quantité)'!AL20</f>
        <v>0</v>
      </c>
      <c r="AM20" s="18">
        <f>'Prix des produits et services '!P20*'Objectifs de ventes (quantité)'!AM20</f>
        <v>0</v>
      </c>
      <c r="AN20" s="18">
        <f>'Prix des produits et services '!Q20*'Objectifs de ventes (quantité)'!AN20</f>
        <v>0</v>
      </c>
      <c r="AO20" s="99">
        <f t="shared" si="2"/>
        <v>0</v>
      </c>
      <c r="AP20" s="18">
        <f>'Prix des produits et services '!$G$20*'Objectifs de ventes (quantité)'!AP20</f>
        <v>0</v>
      </c>
      <c r="AQ20" s="18">
        <f>'Prix des produits et services '!$G$20*'Objectifs de ventes (quantité)'!AQ20</f>
        <v>0</v>
      </c>
      <c r="AR20" s="18">
        <f>'Prix des produits et services '!$G$20*'Objectifs de ventes (quantité)'!AR20</f>
        <v>0</v>
      </c>
      <c r="AS20" s="18">
        <f>'Prix des produits et services '!$G$20*'Objectifs de ventes (quantité)'!AS20</f>
        <v>0</v>
      </c>
      <c r="AT20" s="18">
        <f>'Prix des produits et services '!$G$20*'Objectifs de ventes (quantité)'!AT20</f>
        <v>0</v>
      </c>
      <c r="AU20" s="18">
        <f>'Prix des produits et services '!$G$20*'Objectifs de ventes (quantité)'!AU20</f>
        <v>0</v>
      </c>
      <c r="AV20" s="18">
        <f>'Prix des produits et services '!$G$20*'Objectifs de ventes (quantité)'!AV20</f>
        <v>0</v>
      </c>
      <c r="AW20" s="18">
        <f>'Prix des produits et services '!$G$20*'Objectifs de ventes (quantité)'!AW20</f>
        <v>0</v>
      </c>
      <c r="AX20" s="18">
        <f>'Prix des produits et services '!$G$20*'Objectifs de ventes (quantité)'!AX20</f>
        <v>0</v>
      </c>
      <c r="AY20" s="18">
        <f>'Prix des produits et services '!$G$20*'Objectifs de ventes (quantité)'!AY20</f>
        <v>0</v>
      </c>
      <c r="AZ20" s="18">
        <f>'Prix des produits et services '!$G$20*'Objectifs de ventes (quantité)'!AZ20</f>
        <v>0</v>
      </c>
      <c r="BA20" s="18">
        <f>'Prix des produits et services '!$G$20*'Objectifs de ventes (quantité)'!BA20</f>
        <v>0</v>
      </c>
      <c r="BB20" s="99">
        <f t="shared" si="3"/>
        <v>0</v>
      </c>
      <c r="BC20" s="18">
        <f>'Prix des produits et services '!$H$20*'Objectifs de ventes (quantité)'!BC20</f>
        <v>0</v>
      </c>
      <c r="BD20" s="18">
        <f>'Prix des produits et services '!$H$20*'Objectifs de ventes (quantité)'!BD20</f>
        <v>0</v>
      </c>
      <c r="BE20" s="18">
        <f>'Prix des produits et services '!$H$20*'Objectifs de ventes (quantité)'!BE20</f>
        <v>0</v>
      </c>
      <c r="BF20" s="18">
        <f>'Prix des produits et services '!$H$20*'Objectifs de ventes (quantité)'!BF20</f>
        <v>0</v>
      </c>
      <c r="BG20" s="18">
        <f>'Prix des produits et services '!$H$20*'Objectifs de ventes (quantité)'!BG20</f>
        <v>0</v>
      </c>
      <c r="BH20" s="18">
        <f>'Prix des produits et services '!$H$20*'Objectifs de ventes (quantité)'!BH20</f>
        <v>0</v>
      </c>
      <c r="BI20" s="18">
        <f>'Prix des produits et services '!$H$20*'Objectifs de ventes (quantité)'!BI20</f>
        <v>0</v>
      </c>
      <c r="BJ20" s="18">
        <f>'Prix des produits et services '!$H$20*'Objectifs de ventes (quantité)'!BJ20</f>
        <v>0</v>
      </c>
      <c r="BK20" s="18">
        <f>'Prix des produits et services '!$H$20*'Objectifs de ventes (quantité)'!BK20</f>
        <v>0</v>
      </c>
      <c r="BL20" s="18">
        <f>'Prix des produits et services '!$H$20*'Objectifs de ventes (quantité)'!BL20</f>
        <v>0</v>
      </c>
      <c r="BM20" s="18">
        <f>'Prix des produits et services '!$H$20*'Objectifs de ventes (quantité)'!BM20</f>
        <v>0</v>
      </c>
      <c r="BN20" s="18">
        <f>'Prix des produits et services '!$H$20*'Objectifs de ventes (quantité)'!BN20</f>
        <v>0</v>
      </c>
      <c r="BO20" s="99">
        <f t="shared" si="4"/>
        <v>0</v>
      </c>
    </row>
    <row r="21" spans="1:67" x14ac:dyDescent="0.3">
      <c r="A21" s="5" t="str">
        <f>'Prix des produits et services '!B21</f>
        <v>Produit ou Service 20</v>
      </c>
      <c r="B21" s="1">
        <f>'Prix des produits et services '!C21</f>
        <v>0</v>
      </c>
      <c r="C21" s="18">
        <f>'Prix des produits et services '!$D$21*'Objectifs de ventes (quantité)'!C21</f>
        <v>0</v>
      </c>
      <c r="D21" s="18">
        <f>'Prix des produits et services '!$D$21*'Objectifs de ventes (quantité)'!D21</f>
        <v>0</v>
      </c>
      <c r="E21" s="18">
        <f>'Prix des produits et services '!$D$21*'Objectifs de ventes (quantité)'!E21</f>
        <v>0</v>
      </c>
      <c r="F21" s="18">
        <f>'Prix des produits et services '!$D$21*'Objectifs de ventes (quantité)'!F21</f>
        <v>0</v>
      </c>
      <c r="G21" s="18">
        <f>'Prix des produits et services '!$D$21*'Objectifs de ventes (quantité)'!G21</f>
        <v>0</v>
      </c>
      <c r="H21" s="18">
        <f>'Prix des produits et services '!$D$21*'Objectifs de ventes (quantité)'!H21</f>
        <v>0</v>
      </c>
      <c r="I21" s="18">
        <f>'Prix des produits et services '!$D$21*'Objectifs de ventes (quantité)'!I21</f>
        <v>0</v>
      </c>
      <c r="J21" s="18">
        <f>'Prix des produits et services '!$D$21*'Objectifs de ventes (quantité)'!J21</f>
        <v>0</v>
      </c>
      <c r="K21" s="18">
        <f>'Prix des produits et services '!$D$21*'Objectifs de ventes (quantité)'!K21</f>
        <v>0</v>
      </c>
      <c r="L21" s="18">
        <f>'Prix des produits et services '!$D$21*'Objectifs de ventes (quantité)'!L21</f>
        <v>0</v>
      </c>
      <c r="M21" s="18">
        <f>'Prix des produits et services '!$D$21*'Objectifs de ventes (quantité)'!M21</f>
        <v>0</v>
      </c>
      <c r="N21" s="18">
        <f>'Prix des produits et services '!$D$21*'Objectifs de ventes (quantité)'!N21</f>
        <v>0</v>
      </c>
      <c r="O21" s="99">
        <f t="shared" si="0"/>
        <v>0</v>
      </c>
      <c r="P21" s="18">
        <f>'Prix des produits et services '!$E$21*'Objectifs de ventes (quantité)'!P21</f>
        <v>0</v>
      </c>
      <c r="Q21" s="18">
        <f>'Prix des produits et services '!$E$21*'Objectifs de ventes (quantité)'!Q21</f>
        <v>0</v>
      </c>
      <c r="R21" s="18">
        <f>'Prix des produits et services '!$E$21*'Objectifs de ventes (quantité)'!R21</f>
        <v>0</v>
      </c>
      <c r="S21" s="18">
        <f>'Prix des produits et services '!$E$21*'Objectifs de ventes (quantité)'!S21</f>
        <v>0</v>
      </c>
      <c r="T21" s="18">
        <f>'Prix des produits et services '!$E$21*'Objectifs de ventes (quantité)'!T21</f>
        <v>0</v>
      </c>
      <c r="U21" s="18">
        <f>'Prix des produits et services '!$E$21*'Objectifs de ventes (quantité)'!U21</f>
        <v>0</v>
      </c>
      <c r="V21" s="18">
        <f>'Prix des produits et services '!$E$21*'Objectifs de ventes (quantité)'!V21</f>
        <v>0</v>
      </c>
      <c r="W21" s="18">
        <f>'Prix des produits et services '!$E$21*'Objectifs de ventes (quantité)'!W21</f>
        <v>0</v>
      </c>
      <c r="X21" s="18">
        <f>'Prix des produits et services '!$E$21*'Objectifs de ventes (quantité)'!X21</f>
        <v>0</v>
      </c>
      <c r="Y21" s="18">
        <f>'Prix des produits et services '!$E$21*'Objectifs de ventes (quantité)'!Y21</f>
        <v>0</v>
      </c>
      <c r="Z21" s="18">
        <f>'Prix des produits et services '!$E$21*'Objectifs de ventes (quantité)'!Z21</f>
        <v>0</v>
      </c>
      <c r="AA21" s="18">
        <f>'Prix des produits et services '!$E$21*'Objectifs de ventes (quantité)'!AA21</f>
        <v>0</v>
      </c>
      <c r="AB21" s="99">
        <f>SUM(P21:AA21)</f>
        <v>0</v>
      </c>
      <c r="AC21" s="18">
        <f>'Prix des produits et services '!$F$21*'Objectifs de ventes (quantité)'!AC21</f>
        <v>0</v>
      </c>
      <c r="AD21" s="18">
        <f>'Prix des produits et services '!$F$21*'Objectifs de ventes (quantité)'!AD21</f>
        <v>0</v>
      </c>
      <c r="AE21" s="18">
        <f>'Prix des produits et services '!$F$21*'Objectifs de ventes (quantité)'!AE21</f>
        <v>0</v>
      </c>
      <c r="AF21" s="18">
        <f>'Prix des produits et services '!$F$21*'Objectifs de ventes (quantité)'!AF21</f>
        <v>0</v>
      </c>
      <c r="AG21" s="18">
        <f>'Prix des produits et services '!$F$21*'Objectifs de ventes (quantité)'!AG21</f>
        <v>0</v>
      </c>
      <c r="AH21" s="18">
        <f>'Prix des produits et services '!$F$21*'Objectifs de ventes (quantité)'!AH21</f>
        <v>0</v>
      </c>
      <c r="AI21" s="18">
        <f>'Prix des produits et services '!$F$21*'Objectifs de ventes (quantité)'!AI21</f>
        <v>0</v>
      </c>
      <c r="AJ21" s="18">
        <f>'Prix des produits et services '!$F$21*'Objectifs de ventes (quantité)'!AJ21</f>
        <v>0</v>
      </c>
      <c r="AK21" s="18">
        <f>'Prix des produits et services '!$F$21*'Objectifs de ventes (quantité)'!AK21</f>
        <v>0</v>
      </c>
      <c r="AL21" s="18">
        <f>'Prix des produits et services '!$F$21*'Objectifs de ventes (quantité)'!AL21</f>
        <v>0</v>
      </c>
      <c r="AM21" s="18">
        <f>'Prix des produits et services '!$F$21*'Objectifs de ventes (quantité)'!AM21</f>
        <v>0</v>
      </c>
      <c r="AN21" s="18">
        <f>'Prix des produits et services '!$F$21*'Objectifs de ventes (quantité)'!AN21</f>
        <v>0</v>
      </c>
      <c r="AO21" s="99">
        <f t="shared" si="2"/>
        <v>0</v>
      </c>
      <c r="AP21" s="18">
        <f>'Prix des produits et services '!$G$21*'Objectifs de ventes (quantité)'!AP21</f>
        <v>0</v>
      </c>
      <c r="AQ21" s="18">
        <f>'Prix des produits et services '!$G$21*'Objectifs de ventes (quantité)'!AQ21</f>
        <v>0</v>
      </c>
      <c r="AR21" s="18">
        <f>'Prix des produits et services '!$G$21*'Objectifs de ventes (quantité)'!AR21</f>
        <v>0</v>
      </c>
      <c r="AS21" s="18">
        <f>'Prix des produits et services '!$G$21*'Objectifs de ventes (quantité)'!AS21</f>
        <v>0</v>
      </c>
      <c r="AT21" s="18">
        <f>'Prix des produits et services '!$G$21*'Objectifs de ventes (quantité)'!AT21</f>
        <v>0</v>
      </c>
      <c r="AU21" s="18">
        <f>'Prix des produits et services '!$G$21*'Objectifs de ventes (quantité)'!AU21</f>
        <v>0</v>
      </c>
      <c r="AV21" s="18">
        <f>'Prix des produits et services '!$G$21*'Objectifs de ventes (quantité)'!AV21</f>
        <v>0</v>
      </c>
      <c r="AW21" s="18">
        <f>'Prix des produits et services '!$G$21*'Objectifs de ventes (quantité)'!AW21</f>
        <v>0</v>
      </c>
      <c r="AX21" s="18">
        <f>'Prix des produits et services '!$G$21*'Objectifs de ventes (quantité)'!AX21</f>
        <v>0</v>
      </c>
      <c r="AY21" s="18">
        <f>'Prix des produits et services '!$G$21*'Objectifs de ventes (quantité)'!AY21</f>
        <v>0</v>
      </c>
      <c r="AZ21" s="18">
        <f>'Prix des produits et services '!$G$21*'Objectifs de ventes (quantité)'!AZ21</f>
        <v>0</v>
      </c>
      <c r="BA21" s="18">
        <f>'Prix des produits et services '!$G$21*'Objectifs de ventes (quantité)'!BA21</f>
        <v>0</v>
      </c>
      <c r="BB21" s="99">
        <f t="shared" si="3"/>
        <v>0</v>
      </c>
      <c r="BC21" s="18">
        <f>'Prix des produits et services '!$H$21*'Objectifs de ventes (quantité)'!BC21</f>
        <v>0</v>
      </c>
      <c r="BD21" s="18">
        <f>'Prix des produits et services '!$H$21*'Objectifs de ventes (quantité)'!BD21</f>
        <v>0</v>
      </c>
      <c r="BE21" s="18">
        <f>'Prix des produits et services '!$H$21*'Objectifs de ventes (quantité)'!BE21</f>
        <v>0</v>
      </c>
      <c r="BF21" s="18">
        <f>'Prix des produits et services '!$H$21*'Objectifs de ventes (quantité)'!BF21</f>
        <v>0</v>
      </c>
      <c r="BG21" s="18">
        <f>'Prix des produits et services '!$H$21*'Objectifs de ventes (quantité)'!BG21</f>
        <v>0</v>
      </c>
      <c r="BH21" s="18">
        <f>'Prix des produits et services '!$H$21*'Objectifs de ventes (quantité)'!BH21</f>
        <v>0</v>
      </c>
      <c r="BI21" s="18">
        <f>'Prix des produits et services '!$H$21*'Objectifs de ventes (quantité)'!BI21</f>
        <v>0</v>
      </c>
      <c r="BJ21" s="18">
        <f>'Prix des produits et services '!$H$21*'Objectifs de ventes (quantité)'!BJ21</f>
        <v>0</v>
      </c>
      <c r="BK21" s="18">
        <f>'Prix des produits et services '!$H$21*'Objectifs de ventes (quantité)'!BK21</f>
        <v>0</v>
      </c>
      <c r="BL21" s="18">
        <f>'Prix des produits et services '!$H$21*'Objectifs de ventes (quantité)'!BL21</f>
        <v>0</v>
      </c>
      <c r="BM21" s="18">
        <f>'Prix des produits et services '!$H$21*'Objectifs de ventes (quantité)'!BM21</f>
        <v>0</v>
      </c>
      <c r="BN21" s="18">
        <f>'Prix des produits et services '!$H$21*'Objectifs de ventes (quantité)'!BN21</f>
        <v>0</v>
      </c>
      <c r="BO21" s="99">
        <f>SUM(BC21:BN21)</f>
        <v>0</v>
      </c>
    </row>
    <row r="22" spans="1:67" ht="28.8" x14ac:dyDescent="0.3">
      <c r="A22" s="13" t="s">
        <v>357</v>
      </c>
      <c r="B22" s="10"/>
      <c r="C22" s="99">
        <f>+SUM(C2:C21)</f>
        <v>175000</v>
      </c>
      <c r="D22" s="99">
        <f t="shared" ref="D22:BO22" si="5">+SUM(D2:D21)</f>
        <v>350000</v>
      </c>
      <c r="E22" s="99">
        <f t="shared" si="5"/>
        <v>525000</v>
      </c>
      <c r="F22" s="99">
        <f t="shared" si="5"/>
        <v>700000</v>
      </c>
      <c r="G22" s="99">
        <f t="shared" si="5"/>
        <v>875000</v>
      </c>
      <c r="H22" s="99">
        <f t="shared" si="5"/>
        <v>1050000</v>
      </c>
      <c r="I22" s="99">
        <f t="shared" si="5"/>
        <v>1400000</v>
      </c>
      <c r="J22" s="99">
        <f t="shared" si="5"/>
        <v>1575000</v>
      </c>
      <c r="K22" s="99">
        <f t="shared" si="5"/>
        <v>1575000</v>
      </c>
      <c r="L22" s="99">
        <f t="shared" si="5"/>
        <v>1575000</v>
      </c>
      <c r="M22" s="99">
        <f t="shared" si="5"/>
        <v>1575000</v>
      </c>
      <c r="N22" s="99">
        <f t="shared" si="5"/>
        <v>1575000</v>
      </c>
      <c r="O22" s="99">
        <f>+SUM(O2:O21)</f>
        <v>12950000</v>
      </c>
      <c r="P22" s="99">
        <f t="shared" si="5"/>
        <v>1750000</v>
      </c>
      <c r="Q22" s="99">
        <f t="shared" si="5"/>
        <v>1925000</v>
      </c>
      <c r="R22" s="99">
        <f t="shared" si="5"/>
        <v>2100000</v>
      </c>
      <c r="S22" s="99">
        <f t="shared" si="5"/>
        <v>2275000</v>
      </c>
      <c r="T22" s="99">
        <f t="shared" si="5"/>
        <v>2450000</v>
      </c>
      <c r="U22" s="99">
        <f t="shared" si="5"/>
        <v>2625000</v>
      </c>
      <c r="V22" s="99">
        <f t="shared" si="5"/>
        <v>2800000</v>
      </c>
      <c r="W22" s="99">
        <f t="shared" si="5"/>
        <v>2975000</v>
      </c>
      <c r="X22" s="99">
        <f t="shared" si="5"/>
        <v>3150000</v>
      </c>
      <c r="Y22" s="99">
        <f t="shared" si="5"/>
        <v>3325000</v>
      </c>
      <c r="Z22" s="99">
        <f t="shared" si="5"/>
        <v>3500000</v>
      </c>
      <c r="AA22" s="99">
        <f t="shared" si="5"/>
        <v>3850000</v>
      </c>
      <c r="AB22" s="99">
        <f t="shared" si="5"/>
        <v>32725000</v>
      </c>
      <c r="AC22" s="99">
        <f t="shared" si="5"/>
        <v>5200000</v>
      </c>
      <c r="AD22" s="99">
        <f t="shared" si="5"/>
        <v>5252000</v>
      </c>
      <c r="AE22" s="99">
        <f t="shared" si="5"/>
        <v>5304520</v>
      </c>
      <c r="AF22" s="99">
        <f t="shared" si="5"/>
        <v>5357565.2</v>
      </c>
      <c r="AG22" s="99">
        <f t="shared" si="5"/>
        <v>5411140.852</v>
      </c>
      <c r="AH22" s="99">
        <f t="shared" si="5"/>
        <v>5465252.26052</v>
      </c>
      <c r="AI22" s="99">
        <f t="shared" si="5"/>
        <v>5519904.7831252003</v>
      </c>
      <c r="AJ22" s="99">
        <f t="shared" si="5"/>
        <v>5575103.8309564525</v>
      </c>
      <c r="AK22" s="99">
        <f t="shared" si="5"/>
        <v>5630854.8692660164</v>
      </c>
      <c r="AL22" s="99">
        <f t="shared" si="5"/>
        <v>5687163.4179586768</v>
      </c>
      <c r="AM22" s="99">
        <f t="shared" si="5"/>
        <v>5744035.0521382643</v>
      </c>
      <c r="AN22" s="99">
        <f t="shared" si="5"/>
        <v>5801475.4026596472</v>
      </c>
      <c r="AO22" s="99">
        <f t="shared" si="5"/>
        <v>65949015.66862426</v>
      </c>
      <c r="AP22" s="99">
        <f t="shared" si="5"/>
        <v>0</v>
      </c>
      <c r="AQ22" s="99">
        <f t="shared" si="5"/>
        <v>0</v>
      </c>
      <c r="AR22" s="99">
        <f t="shared" si="5"/>
        <v>0</v>
      </c>
      <c r="AS22" s="99">
        <f t="shared" si="5"/>
        <v>0</v>
      </c>
      <c r="AT22" s="99">
        <f t="shared" si="5"/>
        <v>0</v>
      </c>
      <c r="AU22" s="99">
        <f t="shared" si="5"/>
        <v>0</v>
      </c>
      <c r="AV22" s="99">
        <f t="shared" si="5"/>
        <v>0</v>
      </c>
      <c r="AW22" s="99">
        <f t="shared" si="5"/>
        <v>0</v>
      </c>
      <c r="AX22" s="99">
        <f t="shared" si="5"/>
        <v>0</v>
      </c>
      <c r="AY22" s="99">
        <f t="shared" si="5"/>
        <v>0</v>
      </c>
      <c r="AZ22" s="99">
        <f t="shared" si="5"/>
        <v>0</v>
      </c>
      <c r="BA22" s="99">
        <f t="shared" si="5"/>
        <v>0</v>
      </c>
      <c r="BB22" s="99">
        <f t="shared" si="5"/>
        <v>0</v>
      </c>
      <c r="BC22" s="99">
        <f t="shared" si="5"/>
        <v>0</v>
      </c>
      <c r="BD22" s="99">
        <f t="shared" si="5"/>
        <v>0</v>
      </c>
      <c r="BE22" s="99">
        <f t="shared" si="5"/>
        <v>0</v>
      </c>
      <c r="BF22" s="99">
        <f t="shared" si="5"/>
        <v>0</v>
      </c>
      <c r="BG22" s="99">
        <f t="shared" si="5"/>
        <v>0</v>
      </c>
      <c r="BH22" s="99">
        <f t="shared" si="5"/>
        <v>0</v>
      </c>
      <c r="BI22" s="99">
        <f t="shared" si="5"/>
        <v>0</v>
      </c>
      <c r="BJ22" s="99">
        <f t="shared" si="5"/>
        <v>0</v>
      </c>
      <c r="BK22" s="99">
        <f t="shared" si="5"/>
        <v>0</v>
      </c>
      <c r="BL22" s="99">
        <f t="shared" si="5"/>
        <v>0</v>
      </c>
      <c r="BM22" s="99">
        <f t="shared" si="5"/>
        <v>0</v>
      </c>
      <c r="BN22" s="99">
        <f t="shared" si="5"/>
        <v>0</v>
      </c>
      <c r="BO22" s="99">
        <f t="shared" si="5"/>
        <v>0</v>
      </c>
    </row>
    <row r="25" spans="1:67" ht="43.2" x14ac:dyDescent="0.3">
      <c r="A25" s="13" t="s">
        <v>399</v>
      </c>
      <c r="B25" s="24">
        <v>0.2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2:Q42"/>
  <sheetViews>
    <sheetView zoomScale="90" zoomScaleNormal="90" workbookViewId="0">
      <selection activeCell="I5" sqref="I5:K5"/>
    </sheetView>
  </sheetViews>
  <sheetFormatPr baseColWidth="10" defaultRowHeight="14.4" x14ac:dyDescent="0.3"/>
  <cols>
    <col min="1" max="1" width="13.44140625" customWidth="1"/>
    <col min="2" max="2" width="17.5546875" customWidth="1"/>
    <col min="3" max="3" width="16.33203125" bestFit="1" customWidth="1"/>
    <col min="4" max="4" width="17.5546875" customWidth="1"/>
    <col min="5" max="5" width="11.88671875" customWidth="1"/>
    <col min="6" max="6" width="17.88671875" bestFit="1" customWidth="1"/>
    <col min="7" max="7" width="18.5546875" customWidth="1"/>
    <col min="8" max="8" width="14.33203125" bestFit="1" customWidth="1"/>
    <col min="9" max="9" width="18.88671875" bestFit="1" customWidth="1"/>
    <col min="10" max="10" width="18.21875" customWidth="1"/>
    <col min="11" max="11" width="14.33203125" bestFit="1" customWidth="1"/>
    <col min="12" max="12" width="18.88671875" bestFit="1" customWidth="1"/>
    <col min="13" max="13" width="18.6640625" customWidth="1"/>
    <col min="14" max="14" width="14.33203125" bestFit="1" customWidth="1"/>
    <col min="15" max="15" width="18.88671875" bestFit="1" customWidth="1"/>
    <col min="16" max="16" width="17.109375" customWidth="1"/>
    <col min="17" max="17" width="14.33203125" bestFit="1" customWidth="1"/>
  </cols>
  <sheetData>
    <row r="2" spans="1:17" x14ac:dyDescent="0.3">
      <c r="C2" s="102" t="s">
        <v>358</v>
      </c>
      <c r="D2" s="4"/>
      <c r="E2" s="4"/>
    </row>
    <row r="3" spans="1:17" ht="9.75" customHeight="1" x14ac:dyDescent="0.3"/>
    <row r="4" spans="1:17" x14ac:dyDescent="0.3">
      <c r="C4" s="146" t="s">
        <v>359</v>
      </c>
      <c r="D4" s="147"/>
      <c r="E4" s="148"/>
      <c r="F4" s="146" t="s">
        <v>360</v>
      </c>
      <c r="G4" s="147"/>
      <c r="H4" s="148"/>
      <c r="I4" s="146" t="s">
        <v>361</v>
      </c>
      <c r="J4" s="147"/>
      <c r="K4" s="148"/>
      <c r="L4" s="146" t="s">
        <v>362</v>
      </c>
      <c r="M4" s="147"/>
      <c r="N4" s="148"/>
      <c r="O4" s="146" t="s">
        <v>363</v>
      </c>
      <c r="P4" s="147"/>
      <c r="Q4" s="148"/>
    </row>
    <row r="5" spans="1:17" ht="40.5" customHeight="1" x14ac:dyDescent="0.3">
      <c r="A5" s="91"/>
      <c r="B5" s="92" t="s">
        <v>366</v>
      </c>
      <c r="C5" s="149">
        <f>'Chiffre d''affaires prévisionnel'!O22</f>
        <v>12950000</v>
      </c>
      <c r="D5" s="150"/>
      <c r="E5" s="151"/>
      <c r="F5" s="149">
        <f>'Chiffre d''affaires prévisionnel'!AB22</f>
        <v>32725000</v>
      </c>
      <c r="G5" s="150"/>
      <c r="H5" s="151"/>
      <c r="I5" s="149">
        <f>'Chiffre d''affaires prévisionnel'!AO22</f>
        <v>65949015.66862426</v>
      </c>
      <c r="J5" s="150"/>
      <c r="K5" s="151"/>
      <c r="L5" s="149">
        <f>'Chiffre d''affaires prévisionnel'!BB22</f>
        <v>0</v>
      </c>
      <c r="M5" s="150"/>
      <c r="N5" s="151"/>
      <c r="O5" s="149">
        <f>'Chiffre d''affaires prévisionnel'!BO22</f>
        <v>0</v>
      </c>
      <c r="P5" s="150"/>
      <c r="Q5" s="151"/>
    </row>
    <row r="6" spans="1:17" ht="40.5" customHeight="1" x14ac:dyDescent="0.3">
      <c r="A6" s="91"/>
      <c r="B6" s="91"/>
      <c r="C6" s="8" t="s">
        <v>375</v>
      </c>
      <c r="D6" s="8" t="s">
        <v>376</v>
      </c>
      <c r="E6" s="98" t="s">
        <v>377</v>
      </c>
      <c r="F6" s="8" t="s">
        <v>375</v>
      </c>
      <c r="G6" s="8" t="s">
        <v>376</v>
      </c>
      <c r="H6" s="98" t="s">
        <v>377</v>
      </c>
      <c r="I6" s="8" t="s">
        <v>375</v>
      </c>
      <c r="J6" s="8" t="s">
        <v>376</v>
      </c>
      <c r="K6" s="98" t="s">
        <v>377</v>
      </c>
      <c r="L6" s="8" t="s">
        <v>375</v>
      </c>
      <c r="M6" s="8" t="s">
        <v>376</v>
      </c>
      <c r="N6" s="98" t="s">
        <v>377</v>
      </c>
      <c r="O6" s="8" t="s">
        <v>375</v>
      </c>
      <c r="P6" s="8" t="s">
        <v>376</v>
      </c>
      <c r="Q6" s="98" t="s">
        <v>377</v>
      </c>
    </row>
    <row r="7" spans="1:17" ht="28.8" x14ac:dyDescent="0.3">
      <c r="A7" s="16" t="s">
        <v>364</v>
      </c>
      <c r="B7" s="94">
        <v>10000</v>
      </c>
      <c r="C7" s="18">
        <v>0</v>
      </c>
      <c r="D7" s="18">
        <v>1000000</v>
      </c>
      <c r="E7" s="99">
        <v>10000</v>
      </c>
      <c r="F7" s="18">
        <v>0</v>
      </c>
      <c r="G7" s="18">
        <v>1000000</v>
      </c>
      <c r="H7" s="99">
        <v>10000</v>
      </c>
      <c r="I7" s="18">
        <v>0</v>
      </c>
      <c r="J7" s="18">
        <v>1000000</v>
      </c>
      <c r="K7" s="99">
        <v>10000</v>
      </c>
      <c r="L7" s="18">
        <v>0</v>
      </c>
      <c r="M7" s="18">
        <v>1000000</v>
      </c>
      <c r="N7" s="99">
        <v>10000</v>
      </c>
      <c r="O7" s="18">
        <v>0</v>
      </c>
      <c r="P7" s="18">
        <v>1000000</v>
      </c>
      <c r="Q7" s="99">
        <v>10000</v>
      </c>
    </row>
    <row r="8" spans="1:17" ht="43.2" x14ac:dyDescent="0.3">
      <c r="A8" s="16" t="s">
        <v>365</v>
      </c>
      <c r="B8" s="95">
        <v>7.4999999999999997E-3</v>
      </c>
      <c r="C8" s="18">
        <v>1000000</v>
      </c>
      <c r="D8" s="18">
        <v>4597500</v>
      </c>
      <c r="E8" s="99">
        <f>(D8-C8)*$B$8</f>
        <v>26981.25</v>
      </c>
      <c r="F8" s="18">
        <v>1000000</v>
      </c>
      <c r="G8" s="18">
        <v>3514647</v>
      </c>
      <c r="H8" s="99">
        <f>(G8-F8)*$B$8</f>
        <v>18859.852500000001</v>
      </c>
      <c r="I8" s="18">
        <v>1000000</v>
      </c>
      <c r="J8" s="18">
        <v>6977730</v>
      </c>
      <c r="K8" s="99">
        <f>(J8-I8)*$B$8</f>
        <v>44832.974999999999</v>
      </c>
      <c r="L8" s="18">
        <v>1000000</v>
      </c>
      <c r="M8" s="18">
        <v>20000000</v>
      </c>
      <c r="N8" s="99">
        <f t="shared" ref="N8" si="0">(M8-L8)*$B$8</f>
        <v>142500</v>
      </c>
      <c r="O8" s="18">
        <v>1000000</v>
      </c>
      <c r="P8" s="18">
        <v>20000000</v>
      </c>
      <c r="Q8" s="99">
        <f t="shared" ref="Q8" si="1">(P8-O8)*$B$8</f>
        <v>142500</v>
      </c>
    </row>
    <row r="9" spans="1:17" ht="43.2" x14ac:dyDescent="0.3">
      <c r="A9" s="16" t="s">
        <v>367</v>
      </c>
      <c r="B9" s="96">
        <v>6.4999999999999997E-3</v>
      </c>
      <c r="C9" s="18"/>
      <c r="D9" s="18"/>
      <c r="E9" s="99">
        <f>(D9-C9)*$B$9</f>
        <v>0</v>
      </c>
      <c r="F9" s="18"/>
      <c r="G9" s="18"/>
      <c r="H9" s="99">
        <f t="shared" ref="H9" si="2">(G9-F9)*$B$9</f>
        <v>0</v>
      </c>
      <c r="I9" s="18"/>
      <c r="J9" s="18"/>
      <c r="K9" s="99">
        <f>(J9-I9)*$B$9</f>
        <v>0</v>
      </c>
      <c r="L9" s="18">
        <v>20000000</v>
      </c>
      <c r="M9" s="18">
        <v>40000000</v>
      </c>
      <c r="N9" s="99">
        <f>(M9-L9)*$B$9</f>
        <v>130000</v>
      </c>
      <c r="O9" s="18">
        <v>20000000</v>
      </c>
      <c r="P9" s="18">
        <v>40000000</v>
      </c>
      <c r="Q9" s="99">
        <f t="shared" ref="Q9" si="3">(P9-O9)*$B$9</f>
        <v>130000</v>
      </c>
    </row>
    <row r="10" spans="1:17" ht="43.2" x14ac:dyDescent="0.3">
      <c r="A10" s="16" t="s">
        <v>368</v>
      </c>
      <c r="B10" s="96">
        <v>4.4999999999999997E-3</v>
      </c>
      <c r="C10" s="18"/>
      <c r="D10" s="18"/>
      <c r="E10" s="99">
        <f>(D10-C10)*$B$10</f>
        <v>0</v>
      </c>
      <c r="F10" s="18"/>
      <c r="G10" s="18"/>
      <c r="H10" s="99">
        <f t="shared" ref="H10" si="4">(G10-F10)*$B$10</f>
        <v>0</v>
      </c>
      <c r="I10" s="18"/>
      <c r="J10" s="18"/>
      <c r="K10" s="99">
        <f>(J10-I10)*$B$10</f>
        <v>0</v>
      </c>
      <c r="L10" s="18">
        <v>40000000</v>
      </c>
      <c r="M10" s="18">
        <v>57834009</v>
      </c>
      <c r="N10" s="99">
        <f t="shared" ref="N10" si="5">(M10-L10)*$B$10</f>
        <v>80253.040499999988</v>
      </c>
      <c r="O10" s="18">
        <v>40000000</v>
      </c>
      <c r="P10" s="18">
        <v>100000000</v>
      </c>
      <c r="Q10" s="99">
        <f>(P10-O10)*$B$10</f>
        <v>270000</v>
      </c>
    </row>
    <row r="11" spans="1:17" ht="43.2" x14ac:dyDescent="0.3">
      <c r="A11" s="16" t="s">
        <v>369</v>
      </c>
      <c r="B11" s="96">
        <v>2E-3</v>
      </c>
      <c r="C11" s="18"/>
      <c r="D11" s="18"/>
      <c r="E11" s="99">
        <f>(D11-C11)*$B$11</f>
        <v>0</v>
      </c>
      <c r="F11" s="18"/>
      <c r="G11" s="18"/>
      <c r="H11" s="99">
        <f t="shared" ref="H11" si="6">(G11-F11)*$B$11</f>
        <v>0</v>
      </c>
      <c r="I11" s="18"/>
      <c r="J11" s="18"/>
      <c r="K11" s="99">
        <f>(J11-I11)*$B$11</f>
        <v>0</v>
      </c>
      <c r="L11" s="18"/>
      <c r="M11" s="18"/>
      <c r="N11" s="99">
        <f t="shared" ref="N11" si="7">(M11-L11)*$B$11</f>
        <v>0</v>
      </c>
      <c r="O11" s="18">
        <v>100000000</v>
      </c>
      <c r="P11" s="18">
        <v>300000000</v>
      </c>
      <c r="Q11" s="99">
        <f t="shared" ref="Q11" si="8">(P11-O11)*$B$11</f>
        <v>400000</v>
      </c>
    </row>
    <row r="12" spans="1:17" ht="43.2" x14ac:dyDescent="0.3">
      <c r="A12" s="16" t="s">
        <v>370</v>
      </c>
      <c r="B12" s="96">
        <v>1.5E-3</v>
      </c>
      <c r="C12" s="18"/>
      <c r="D12" s="18"/>
      <c r="E12" s="99">
        <f>(D12-C12)*$B$12</f>
        <v>0</v>
      </c>
      <c r="F12" s="18"/>
      <c r="G12" s="18"/>
      <c r="H12" s="99">
        <f t="shared" ref="H12" si="9">(G12-F12)*$B$12</f>
        <v>0</v>
      </c>
      <c r="I12" s="18"/>
      <c r="J12" s="18"/>
      <c r="K12" s="99">
        <f>(J12-I12)*$B$12</f>
        <v>0</v>
      </c>
      <c r="L12" s="18"/>
      <c r="M12" s="18"/>
      <c r="N12" s="99">
        <f t="shared" ref="N12" si="10">(M12-L12)*$B$12</f>
        <v>0</v>
      </c>
      <c r="O12" s="18">
        <v>300000000</v>
      </c>
      <c r="P12" s="18">
        <v>500000000</v>
      </c>
      <c r="Q12" s="99">
        <f t="shared" ref="Q12" si="11">(P12-O12)*$B$12</f>
        <v>300000</v>
      </c>
    </row>
    <row r="13" spans="1:17" ht="43.2" x14ac:dyDescent="0.3">
      <c r="A13" s="16" t="s">
        <v>371</v>
      </c>
      <c r="B13" s="96">
        <v>1.4E-3</v>
      </c>
      <c r="C13" s="18"/>
      <c r="D13" s="18"/>
      <c r="E13" s="99">
        <f>(D13-C13)*$B$13</f>
        <v>0</v>
      </c>
      <c r="F13" s="18"/>
      <c r="G13" s="18"/>
      <c r="H13" s="99">
        <f t="shared" ref="H13" si="12">(G13-F13)*$B$13</f>
        <v>0</v>
      </c>
      <c r="I13" s="18"/>
      <c r="J13" s="18"/>
      <c r="K13" s="99">
        <f>(J13-I13)*$B$13</f>
        <v>0</v>
      </c>
      <c r="L13" s="18"/>
      <c r="M13" s="18"/>
      <c r="N13" s="99">
        <f t="shared" ref="N13" si="13">(M13-L13)*$B$13</f>
        <v>0</v>
      </c>
      <c r="O13" s="18">
        <v>500000000</v>
      </c>
      <c r="P13" s="18">
        <v>506017477</v>
      </c>
      <c r="Q13" s="99">
        <f t="shared" ref="Q13" si="14">(P13-O13)*$B$13</f>
        <v>8424.4678000000004</v>
      </c>
    </row>
    <row r="14" spans="1:17" ht="43.2" x14ac:dyDescent="0.3">
      <c r="A14" s="16" t="s">
        <v>372</v>
      </c>
      <c r="B14" s="97">
        <v>1.3500000000000001E-3</v>
      </c>
      <c r="C14" s="18"/>
      <c r="D14" s="18"/>
      <c r="E14" s="99">
        <f>(D14-C14)*$B$14</f>
        <v>0</v>
      </c>
      <c r="F14" s="28"/>
      <c r="G14" s="18"/>
      <c r="H14" s="99">
        <f t="shared" ref="H14" si="15">(G14-F14)*$B$14</f>
        <v>0</v>
      </c>
      <c r="I14" s="18"/>
      <c r="J14" s="18"/>
      <c r="K14" s="99">
        <f>(J14-I14)*$B$14</f>
        <v>0</v>
      </c>
      <c r="L14" s="18"/>
      <c r="M14" s="18"/>
      <c r="N14" s="99">
        <f t="shared" ref="N14" si="16">(M14-L14)*$B$14</f>
        <v>0</v>
      </c>
      <c r="O14" s="18"/>
      <c r="P14" s="18"/>
      <c r="Q14" s="99">
        <f t="shared" ref="Q14" si="17">(P14-O14)*$B$14</f>
        <v>0</v>
      </c>
    </row>
    <row r="15" spans="1:17" ht="43.2" x14ac:dyDescent="0.3">
      <c r="A15" s="16" t="s">
        <v>373</v>
      </c>
      <c r="B15" s="97">
        <v>1.25E-3</v>
      </c>
      <c r="C15" s="18"/>
      <c r="D15" s="18"/>
      <c r="E15" s="99">
        <f>(D15-C15)*$B$15</f>
        <v>0</v>
      </c>
      <c r="F15" s="28"/>
      <c r="G15" s="18"/>
      <c r="H15" s="99">
        <f t="shared" ref="H15" si="18">(G15-F15)*$B$15</f>
        <v>0</v>
      </c>
      <c r="I15" s="18"/>
      <c r="J15" s="18"/>
      <c r="K15" s="99">
        <f>(J15-I15)*$B$15</f>
        <v>0</v>
      </c>
      <c r="L15" s="18"/>
      <c r="M15" s="18"/>
      <c r="N15" s="99">
        <f t="shared" ref="N15" si="19">(M15-L15)*$B$15</f>
        <v>0</v>
      </c>
      <c r="O15" s="18"/>
      <c r="P15" s="18"/>
      <c r="Q15" s="99">
        <f t="shared" ref="Q15" si="20">(P15-O15)*$B$15</f>
        <v>0</v>
      </c>
    </row>
    <row r="16" spans="1:17" ht="28.8" x14ac:dyDescent="0.3">
      <c r="A16" s="93" t="s">
        <v>374</v>
      </c>
      <c r="B16" s="97">
        <v>4.4999999999999999E-4</v>
      </c>
      <c r="C16" s="18"/>
      <c r="D16" s="18"/>
      <c r="E16" s="99">
        <f>(C16*$B$16)</f>
        <v>0</v>
      </c>
      <c r="F16" s="28"/>
      <c r="G16" s="18"/>
      <c r="H16" s="99">
        <f t="shared" ref="H16" si="21">(F16*$B$16)</f>
        <v>0</v>
      </c>
      <c r="I16" s="18"/>
      <c r="J16" s="18"/>
      <c r="K16" s="99">
        <f>(I16*$B$16)</f>
        <v>0</v>
      </c>
      <c r="L16" s="18"/>
      <c r="M16" s="18"/>
      <c r="N16" s="99">
        <f t="shared" ref="N16" si="22">(L16*$B$16)</f>
        <v>0</v>
      </c>
      <c r="O16" s="18"/>
      <c r="P16" s="18"/>
      <c r="Q16" s="99">
        <f t="shared" ref="Q16" si="23">(O16*$B$16)</f>
        <v>0</v>
      </c>
    </row>
    <row r="17" spans="1:17" x14ac:dyDescent="0.3">
      <c r="C17" s="18"/>
      <c r="D17" s="18"/>
      <c r="E17" s="99">
        <f>SUM(E7:E16)</f>
        <v>36981.25</v>
      </c>
      <c r="F17" s="18"/>
      <c r="G17" s="18"/>
      <c r="H17" s="99">
        <f t="shared" ref="H17" si="24">SUM(H7:H16)</f>
        <v>28859.852500000001</v>
      </c>
      <c r="I17" s="18"/>
      <c r="J17" s="18"/>
      <c r="K17" s="99">
        <f t="shared" ref="K17" si="25">SUM(K7:K16)</f>
        <v>54832.974999999999</v>
      </c>
      <c r="L17" s="18"/>
      <c r="M17" s="18"/>
      <c r="N17" s="99">
        <f t="shared" ref="N17" si="26">SUM(N7:N16)</f>
        <v>362753.0405</v>
      </c>
      <c r="O17" s="18"/>
      <c r="P17" s="18"/>
      <c r="Q17" s="99">
        <f t="shared" ref="Q17" si="27">SUM(Q7:Q16)</f>
        <v>1260924.4678</v>
      </c>
    </row>
    <row r="19" spans="1:17" ht="43.2" x14ac:dyDescent="0.3">
      <c r="A19" s="13" t="s">
        <v>378</v>
      </c>
      <c r="B19" s="1" t="s">
        <v>226</v>
      </c>
    </row>
    <row r="20" spans="1:17" ht="43.2" x14ac:dyDescent="0.3">
      <c r="A20" s="9" t="s">
        <v>379</v>
      </c>
      <c r="B20" s="103">
        <v>7.4999999999999997E-2</v>
      </c>
    </row>
    <row r="21" spans="1:17" ht="28.8" x14ac:dyDescent="0.3">
      <c r="A21" s="9" t="s">
        <v>380</v>
      </c>
      <c r="B21" s="104">
        <v>0.1</v>
      </c>
    </row>
    <row r="24" spans="1:17" ht="28.8" x14ac:dyDescent="0.3">
      <c r="A24" s="12" t="s">
        <v>381</v>
      </c>
      <c r="B24" s="10" t="s">
        <v>385</v>
      </c>
    </row>
    <row r="25" spans="1:17" x14ac:dyDescent="0.3">
      <c r="A25" s="1" t="s">
        <v>382</v>
      </c>
      <c r="B25" s="104">
        <v>0.3</v>
      </c>
    </row>
    <row r="27" spans="1:17" x14ac:dyDescent="0.3">
      <c r="C27" s="145" t="s">
        <v>12</v>
      </c>
      <c r="D27" s="145"/>
      <c r="E27" s="145" t="s">
        <v>25</v>
      </c>
      <c r="F27" s="145"/>
      <c r="G27" s="145" t="s">
        <v>38</v>
      </c>
      <c r="H27" s="145"/>
      <c r="I27" s="145" t="s">
        <v>51</v>
      </c>
      <c r="J27" s="145"/>
      <c r="K27" s="145" t="s">
        <v>64</v>
      </c>
      <c r="L27" s="145"/>
      <c r="M27" s="145" t="s">
        <v>106</v>
      </c>
      <c r="N27" s="145"/>
      <c r="O27" s="145" t="s">
        <v>119</v>
      </c>
      <c r="P27" s="145"/>
      <c r="Q27" s="128" t="s">
        <v>396</v>
      </c>
    </row>
    <row r="28" spans="1:17" ht="43.2" x14ac:dyDescent="0.3">
      <c r="A28" s="12" t="s">
        <v>383</v>
      </c>
      <c r="B28" s="10" t="s">
        <v>226</v>
      </c>
      <c r="C28" s="12" t="s">
        <v>388</v>
      </c>
      <c r="D28" s="9" t="s">
        <v>389</v>
      </c>
      <c r="E28" s="12" t="s">
        <v>388</v>
      </c>
      <c r="F28" s="9" t="s">
        <v>389</v>
      </c>
      <c r="G28" s="12" t="s">
        <v>388</v>
      </c>
      <c r="H28" s="9" t="s">
        <v>389</v>
      </c>
      <c r="I28" s="12" t="s">
        <v>388</v>
      </c>
      <c r="J28" s="9" t="s">
        <v>389</v>
      </c>
      <c r="K28" s="12" t="s">
        <v>388</v>
      </c>
      <c r="L28" s="9" t="s">
        <v>389</v>
      </c>
      <c r="M28" s="12" t="s">
        <v>388</v>
      </c>
      <c r="N28" s="9" t="s">
        <v>389</v>
      </c>
      <c r="O28" s="12" t="s">
        <v>388</v>
      </c>
      <c r="P28" s="9" t="s">
        <v>389</v>
      </c>
      <c r="Q28" s="12" t="s">
        <v>388</v>
      </c>
    </row>
    <row r="29" spans="1:17" ht="43.2" x14ac:dyDescent="0.3">
      <c r="A29" s="9" t="s">
        <v>155</v>
      </c>
      <c r="B29" s="104">
        <v>0.5</v>
      </c>
      <c r="C29" s="1"/>
      <c r="D29" s="9">
        <f>$B$29*C29</f>
        <v>0</v>
      </c>
      <c r="E29" s="1"/>
      <c r="F29" s="9">
        <f>$B$29*E29</f>
        <v>0</v>
      </c>
      <c r="G29" s="1"/>
      <c r="H29" s="9">
        <f t="shared" ref="H29" si="28">$B$29*G29</f>
        <v>0</v>
      </c>
      <c r="I29" s="1"/>
      <c r="J29" s="9">
        <f t="shared" ref="J29" si="29">$B$29*I29</f>
        <v>0</v>
      </c>
      <c r="K29" s="1"/>
      <c r="L29" s="9">
        <f t="shared" ref="L29" si="30">$B$29*K29</f>
        <v>0</v>
      </c>
      <c r="M29" s="1"/>
      <c r="N29" s="9">
        <f t="shared" ref="N29" si="31">$B$29*M29</f>
        <v>0</v>
      </c>
      <c r="O29" s="1"/>
      <c r="P29" s="9">
        <f t="shared" ref="P29" si="32">$B$29*O29</f>
        <v>0</v>
      </c>
      <c r="Q29" s="1"/>
    </row>
    <row r="30" spans="1:17" ht="72" x14ac:dyDescent="0.3">
      <c r="A30" s="9" t="s">
        <v>384</v>
      </c>
      <c r="B30" s="103">
        <v>2.5000000000000001E-2</v>
      </c>
      <c r="C30" s="1"/>
      <c r="D30" s="9">
        <f>$B$30*C30</f>
        <v>0</v>
      </c>
      <c r="E30" s="1"/>
      <c r="F30" s="9">
        <f t="shared" ref="F30" si="33">$B$30*E30</f>
        <v>0</v>
      </c>
      <c r="G30" s="1"/>
      <c r="H30" s="9">
        <f t="shared" ref="H30" si="34">$B$30*G30</f>
        <v>0</v>
      </c>
      <c r="I30" s="1"/>
      <c r="J30" s="9">
        <f t="shared" ref="J30" si="35">$B$30*I30</f>
        <v>0</v>
      </c>
      <c r="K30" s="1"/>
      <c r="L30" s="9">
        <f t="shared" ref="L30" si="36">$B$30*K30</f>
        <v>0</v>
      </c>
      <c r="M30" s="1"/>
      <c r="N30" s="9">
        <f t="shared" ref="N30" si="37">$B$30*M30</f>
        <v>0</v>
      </c>
      <c r="O30" s="1"/>
      <c r="P30" s="9">
        <f t="shared" ref="P30" si="38">$B$30*O30</f>
        <v>0</v>
      </c>
      <c r="Q30" s="1"/>
    </row>
    <row r="31" spans="1:17" ht="43.2" x14ac:dyDescent="0.3">
      <c r="A31" s="9" t="s">
        <v>386</v>
      </c>
      <c r="B31" s="104">
        <v>0.25</v>
      </c>
      <c r="C31" s="1"/>
      <c r="D31" s="9">
        <f>$B$31*C31</f>
        <v>0</v>
      </c>
      <c r="E31" s="1"/>
      <c r="F31" s="9">
        <f t="shared" ref="F31" si="39">$B$31*E31</f>
        <v>0</v>
      </c>
      <c r="G31" s="1"/>
      <c r="H31" s="9">
        <f t="shared" ref="H31" si="40">$B$31*G31</f>
        <v>0</v>
      </c>
      <c r="I31" s="1"/>
      <c r="J31" s="9">
        <f t="shared" ref="J31" si="41">$B$31*I31</f>
        <v>0</v>
      </c>
      <c r="K31" s="1"/>
      <c r="L31" s="9">
        <f t="shared" ref="L31" si="42">$B$31*K31</f>
        <v>0</v>
      </c>
      <c r="M31" s="1"/>
      <c r="N31" s="9">
        <f t="shared" ref="N31" si="43">$B$31*M31</f>
        <v>0</v>
      </c>
      <c r="O31" s="1"/>
      <c r="P31" s="9">
        <f t="shared" ref="P31" si="44">$B$31*O31</f>
        <v>0</v>
      </c>
      <c r="Q31" s="1"/>
    </row>
    <row r="32" spans="1:17" ht="72" x14ac:dyDescent="0.3">
      <c r="A32" s="9" t="s">
        <v>387</v>
      </c>
      <c r="B32" s="103">
        <v>0.22500000000000001</v>
      </c>
      <c r="C32" s="1"/>
      <c r="D32" s="9">
        <f>$B$32*C32</f>
        <v>0</v>
      </c>
      <c r="E32" s="1"/>
      <c r="F32" s="9">
        <f t="shared" ref="F32" si="45">$B$32*E32</f>
        <v>0</v>
      </c>
      <c r="G32" s="1"/>
      <c r="H32" s="9">
        <f t="shared" ref="H32" si="46">$B$32*G32</f>
        <v>0</v>
      </c>
      <c r="I32" s="1"/>
      <c r="J32" s="9">
        <f t="shared" ref="J32" si="47">$B$32*I32</f>
        <v>0</v>
      </c>
      <c r="K32" s="1"/>
      <c r="L32" s="9">
        <f t="shared" ref="L32" si="48">$B$32*K32</f>
        <v>0</v>
      </c>
      <c r="M32" s="1"/>
      <c r="N32" s="9">
        <f t="shared" ref="N32" si="49">$B$32*M32</f>
        <v>0</v>
      </c>
      <c r="O32" s="1"/>
      <c r="P32" s="9">
        <f t="shared" ref="P32" si="50">$B$32*O32</f>
        <v>0</v>
      </c>
      <c r="Q32" s="1"/>
    </row>
    <row r="33" spans="1:4" x14ac:dyDescent="0.3">
      <c r="A33" s="16"/>
      <c r="B33" s="96"/>
      <c r="D33" s="16"/>
    </row>
    <row r="34" spans="1:4" x14ac:dyDescent="0.3">
      <c r="A34" s="16"/>
      <c r="B34" s="96"/>
      <c r="D34" s="16"/>
    </row>
    <row r="35" spans="1:4" ht="28.8" x14ac:dyDescent="0.3">
      <c r="A35" s="13"/>
      <c r="B35" s="106" t="s">
        <v>392</v>
      </c>
      <c r="D35" s="16"/>
    </row>
    <row r="36" spans="1:4" ht="28.8" x14ac:dyDescent="0.3">
      <c r="A36" s="9" t="s">
        <v>393</v>
      </c>
      <c r="B36" s="18">
        <v>60000</v>
      </c>
      <c r="D36" s="16"/>
    </row>
    <row r="37" spans="1:4" ht="28.8" x14ac:dyDescent="0.3">
      <c r="A37" s="9" t="s">
        <v>394</v>
      </c>
      <c r="B37" s="18">
        <v>120000</v>
      </c>
      <c r="D37" s="16"/>
    </row>
    <row r="38" spans="1:4" ht="28.8" x14ac:dyDescent="0.3">
      <c r="A38" s="9" t="s">
        <v>395</v>
      </c>
      <c r="B38" s="18">
        <v>500000</v>
      </c>
      <c r="D38" s="16"/>
    </row>
    <row r="41" spans="1:4" ht="28.8" x14ac:dyDescent="0.3">
      <c r="A41" s="17" t="s">
        <v>390</v>
      </c>
      <c r="B41" s="7" t="s">
        <v>385</v>
      </c>
    </row>
    <row r="42" spans="1:4" x14ac:dyDescent="0.3">
      <c r="A42" s="8" t="s">
        <v>391</v>
      </c>
      <c r="B42" s="105">
        <v>7.4999999999999997E-2</v>
      </c>
    </row>
  </sheetData>
  <mergeCells count="17">
    <mergeCell ref="C4:E4"/>
    <mergeCell ref="F4:H4"/>
    <mergeCell ref="C5:E5"/>
    <mergeCell ref="F5:H5"/>
    <mergeCell ref="I4:K4"/>
    <mergeCell ref="I5:K5"/>
    <mergeCell ref="C27:D27"/>
    <mergeCell ref="E27:F27"/>
    <mergeCell ref="G27:H27"/>
    <mergeCell ref="I27:J27"/>
    <mergeCell ref="K27:L27"/>
    <mergeCell ref="M27:N27"/>
    <mergeCell ref="O27:P27"/>
    <mergeCell ref="L4:N4"/>
    <mergeCell ref="L5:N5"/>
    <mergeCell ref="O4:Q4"/>
    <mergeCell ref="O5:Q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1AAD8-FB47-4AC7-B5D0-05438B3F8994}">
  <sheetPr>
    <tabColor rgb="FFFFFF00"/>
  </sheetPr>
  <dimension ref="A1"/>
  <sheetViews>
    <sheetView workbookViewId="0">
      <selection activeCell="B12" sqref="B12"/>
    </sheetView>
  </sheetViews>
  <sheetFormatPr baseColWidth="10" defaultRowHeight="14.4" x14ac:dyDescent="0.3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1:BN28"/>
  <sheetViews>
    <sheetView workbookViewId="0">
      <pane xSplit="7" ySplit="5" topLeftCell="H6" activePane="bottomRight" state="frozen"/>
      <selection pane="topRight" activeCell="H1" sqref="H1"/>
      <selection pane="bottomLeft" activeCell="A6" sqref="A6"/>
      <selection pane="bottomRight" activeCell="A6" sqref="A6"/>
    </sheetView>
  </sheetViews>
  <sheetFormatPr baseColWidth="10" defaultRowHeight="14.4" x14ac:dyDescent="0.3"/>
  <cols>
    <col min="1" max="1" width="19.6640625" style="4" customWidth="1"/>
    <col min="2" max="2" width="11.88671875" bestFit="1" customWidth="1"/>
    <col min="3" max="13" width="11.6640625" bestFit="1" customWidth="1"/>
    <col min="14" max="14" width="13.33203125" bestFit="1" customWidth="1"/>
    <col min="15" max="15" width="11.6640625" bestFit="1" customWidth="1"/>
    <col min="27" max="27" width="13.109375" bestFit="1" customWidth="1"/>
    <col min="28" max="28" width="11.6640625" bestFit="1" customWidth="1"/>
    <col min="40" max="40" width="13.109375" bestFit="1" customWidth="1"/>
  </cols>
  <sheetData>
    <row r="1" spans="1:66" x14ac:dyDescent="0.3">
      <c r="A1" s="2"/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7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6" t="s">
        <v>20</v>
      </c>
      <c r="W1" s="6" t="s">
        <v>21</v>
      </c>
      <c r="X1" s="6" t="s">
        <v>22</v>
      </c>
      <c r="Y1" s="6" t="s">
        <v>23</v>
      </c>
      <c r="Z1" s="6" t="s">
        <v>24</v>
      </c>
      <c r="AA1" s="7" t="s">
        <v>25</v>
      </c>
      <c r="AB1" s="6" t="s">
        <v>26</v>
      </c>
      <c r="AC1" s="6" t="s">
        <v>27</v>
      </c>
      <c r="AD1" s="6" t="s">
        <v>28</v>
      </c>
      <c r="AE1" s="6" t="s">
        <v>29</v>
      </c>
      <c r="AF1" s="6" t="s">
        <v>30</v>
      </c>
      <c r="AG1" s="6" t="s">
        <v>31</v>
      </c>
      <c r="AH1" s="6" t="s">
        <v>32</v>
      </c>
      <c r="AI1" s="6" t="s">
        <v>33</v>
      </c>
      <c r="AJ1" s="6" t="s">
        <v>34</v>
      </c>
      <c r="AK1" s="6" t="s">
        <v>35</v>
      </c>
      <c r="AL1" s="6" t="s">
        <v>36</v>
      </c>
      <c r="AM1" s="6" t="s">
        <v>37</v>
      </c>
      <c r="AN1" s="7" t="s">
        <v>38</v>
      </c>
      <c r="AO1" s="6" t="s">
        <v>39</v>
      </c>
      <c r="AP1" s="6" t="s">
        <v>40</v>
      </c>
      <c r="AQ1" s="6" t="s">
        <v>41</v>
      </c>
      <c r="AR1" s="6" t="s">
        <v>42</v>
      </c>
      <c r="AS1" s="6" t="s">
        <v>43</v>
      </c>
      <c r="AT1" s="6" t="s">
        <v>44</v>
      </c>
      <c r="AU1" s="6" t="s">
        <v>45</v>
      </c>
      <c r="AV1" s="6" t="s">
        <v>46</v>
      </c>
      <c r="AW1" s="6" t="s">
        <v>47</v>
      </c>
      <c r="AX1" s="6" t="s">
        <v>48</v>
      </c>
      <c r="AY1" s="6" t="s">
        <v>49</v>
      </c>
      <c r="AZ1" s="6" t="s">
        <v>50</v>
      </c>
      <c r="BA1" s="7" t="s">
        <v>51</v>
      </c>
      <c r="BB1" s="6" t="s">
        <v>52</v>
      </c>
      <c r="BC1" s="6" t="s">
        <v>53</v>
      </c>
      <c r="BD1" s="6" t="s">
        <v>54</v>
      </c>
      <c r="BE1" s="6" t="s">
        <v>55</v>
      </c>
      <c r="BF1" s="6" t="s">
        <v>56</v>
      </c>
      <c r="BG1" s="6" t="s">
        <v>57</v>
      </c>
      <c r="BH1" s="6" t="s">
        <v>58</v>
      </c>
      <c r="BI1" s="6" t="s">
        <v>59</v>
      </c>
      <c r="BJ1" s="6" t="s">
        <v>60</v>
      </c>
      <c r="BK1" s="6" t="s">
        <v>61</v>
      </c>
      <c r="BL1" s="6" t="s">
        <v>62</v>
      </c>
      <c r="BM1" s="6" t="s">
        <v>63</v>
      </c>
      <c r="BN1" s="7" t="s">
        <v>64</v>
      </c>
    </row>
    <row r="2" spans="1:66" ht="28.8" x14ac:dyDescent="0.3">
      <c r="A2" s="14" t="s">
        <v>120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100">
        <f>SUM(B2:M2)</f>
        <v>0</v>
      </c>
      <c r="O2" s="28">
        <f>('Prix des produits et services '!$E$24*'Objectifs de ventes (quantité)'!P2)+('Prix des produits et services '!$E$25*'Objectifs de ventes (quantité)'!P3)+('Prix des produits et services '!$E$26*'Objectifs de ventes (quantité)'!P4)</f>
        <v>75000</v>
      </c>
      <c r="P2" s="28">
        <f>('Prix des produits et services '!$E$24*'Objectifs de ventes (quantité)'!Q2)+('Prix des produits et services '!$E$25*'Objectifs de ventes (quantité)'!Q3)+('Prix des produits et services '!$E$26*'Objectifs de ventes (quantité)'!Q4)</f>
        <v>82500</v>
      </c>
      <c r="Q2" s="28">
        <f>('Prix des produits et services '!$E$24*'Objectifs de ventes (quantité)'!R2)+('Prix des produits et services '!$E$25*'Objectifs de ventes (quantité)'!R3)+('Prix des produits et services '!$E$26*'Objectifs de ventes (quantité)'!R4)</f>
        <v>90000</v>
      </c>
      <c r="R2" s="28">
        <f>('Prix des produits et services '!$E$24*'Objectifs de ventes (quantité)'!S2)+('Prix des produits et services '!$E$25*'Objectifs de ventes (quantité)'!S3)+('Prix des produits et services '!$E$26*'Objectifs de ventes (quantité)'!S4)</f>
        <v>97500</v>
      </c>
      <c r="S2" s="28">
        <f>('Prix des produits et services '!$E$24*'Objectifs de ventes (quantité)'!T2)+('Prix des produits et services '!$E$25*'Objectifs de ventes (quantité)'!T3)+('Prix des produits et services '!$E$26*'Objectifs de ventes (quantité)'!T4)</f>
        <v>105000</v>
      </c>
      <c r="T2" s="28">
        <f>('Prix des produits et services '!$E$24*'Objectifs de ventes (quantité)'!U2)+('Prix des produits et services '!$E$25*'Objectifs de ventes (quantité)'!U3)+('Prix des produits et services '!$E$26*'Objectifs de ventes (quantité)'!U4)</f>
        <v>112500</v>
      </c>
      <c r="U2" s="28">
        <f>('Prix des produits et services '!$E$24*'Objectifs de ventes (quantité)'!V2)+('Prix des produits et services '!$E$25*'Objectifs de ventes (quantité)'!V3)+('Prix des produits et services '!$E$26*'Objectifs de ventes (quantité)'!V4)</f>
        <v>120000</v>
      </c>
      <c r="V2" s="28">
        <f>('Prix des produits et services '!$E$24*'Objectifs de ventes (quantité)'!W2)+('Prix des produits et services '!$E$25*'Objectifs de ventes (quantité)'!W3)+('Prix des produits et services '!$E$26*'Objectifs de ventes (quantité)'!W4)</f>
        <v>127500</v>
      </c>
      <c r="W2" s="28">
        <f>('Prix des produits et services '!$E$24*'Objectifs de ventes (quantité)'!X2)+('Prix des produits et services '!$E$25*'Objectifs de ventes (quantité)'!X3)+('Prix des produits et services '!$E$26*'Objectifs de ventes (quantité)'!X4)</f>
        <v>135000</v>
      </c>
      <c r="X2" s="28">
        <f>('Prix des produits et services '!$E$24*'Objectifs de ventes (quantité)'!Y2)+('Prix des produits et services '!$E$25*'Objectifs de ventes (quantité)'!Y3)+('Prix des produits et services '!$E$26*'Objectifs de ventes (quantité)'!Y4)</f>
        <v>142500</v>
      </c>
      <c r="Y2" s="28">
        <f>('Prix des produits et services '!$E$24*'Objectifs de ventes (quantité)'!Z2)+('Prix des produits et services '!$E$25*'Objectifs de ventes (quantité)'!Z3)+('Prix des produits et services '!$E$26*'Objectifs de ventes (quantité)'!Z4)</f>
        <v>150000</v>
      </c>
      <c r="Z2" s="28">
        <f>('Prix des produits et services '!$E$24*'Objectifs de ventes (quantité)'!AA2)+('Prix des produits et services '!$E$25*'Objectifs de ventes (quantité)'!AA3)+('Prix des produits et services '!$E$26*'Objectifs de ventes (quantité)'!AA4)</f>
        <v>165000</v>
      </c>
      <c r="AA2" s="100">
        <f>SUM(O2:Z2)</f>
        <v>1402500</v>
      </c>
      <c r="AB2" s="114">
        <f>('Prix des produits et services '!$F$24*'Objectifs de ventes (quantité)'!AC2)+('Prix des produits et services '!$F$25*'Objectifs de ventes (quantité)'!AC3)+('Prix des produits et services '!$F$26*'Objectifs de ventes (quantité)'!AC4)</f>
        <v>260000</v>
      </c>
      <c r="AC2" s="114">
        <f>('Prix des produits et services '!$F$24*'Objectifs de ventes (quantité)'!AD2)+('Prix des produits et services '!$F$25*'Objectifs de ventes (quantité)'!AD3)+('Prix des produits et services '!$F$26*'Objectifs de ventes (quantité)'!AD4)</f>
        <v>262600</v>
      </c>
      <c r="AD2" s="114">
        <f>('Prix des produits et services '!$F$24*'Objectifs de ventes (quantité)'!AE2)+('Prix des produits et services '!$F$25*'Objectifs de ventes (quantité)'!AE3)+('Prix des produits et services '!$F$26*'Objectifs de ventes (quantité)'!AE4)</f>
        <v>265226</v>
      </c>
      <c r="AE2" s="114">
        <f>('Prix des produits et services '!$F$24*'Objectifs de ventes (quantité)'!AF2)+('Prix des produits et services '!$F$25*'Objectifs de ventes (quantité)'!AF3)+('Prix des produits et services '!$F$26*'Objectifs de ventes (quantité)'!AF4)</f>
        <v>267878.26</v>
      </c>
      <c r="AF2" s="114">
        <f>('Prix des produits et services '!$F$24*'Objectifs de ventes (quantité)'!AG2)+('Prix des produits et services '!$F$25*'Objectifs de ventes (quantité)'!AG3)+('Prix des produits et services '!$F$26*'Objectifs de ventes (quantité)'!AG4)</f>
        <v>270557.04259999999</v>
      </c>
      <c r="AG2" s="114">
        <f>('Prix des produits et services '!$F$24*'Objectifs de ventes (quantité)'!AH2)+('Prix des produits et services '!$F$25*'Objectifs de ventes (quantité)'!AH3)+('Prix des produits et services '!$F$26*'Objectifs de ventes (quantité)'!AH4)</f>
        <v>273262.61302599998</v>
      </c>
      <c r="AH2" s="114">
        <f>('Prix des produits et services '!$F$24*'Objectifs de ventes (quantité)'!AI2)+('Prix des produits et services '!$F$25*'Objectifs de ventes (quantité)'!AI3)+('Prix des produits et services '!$F$26*'Objectifs de ventes (quantité)'!AI4)</f>
        <v>275995.23915626004</v>
      </c>
      <c r="AI2" s="114">
        <f>('Prix des produits et services '!$F$24*'Objectifs de ventes (quantité)'!AJ2)+('Prix des produits et services '!$F$25*'Objectifs de ventes (quantité)'!AJ3)+('Prix des produits et services '!$F$26*'Objectifs de ventes (quantité)'!AJ4)</f>
        <v>278755.19154782261</v>
      </c>
      <c r="AJ2" s="114">
        <f>('Prix des produits et services '!$F$24*'Objectifs de ventes (quantité)'!AK2)+('Prix des produits et services '!$F$25*'Objectifs de ventes (quantité)'!AK3)+('Prix des produits et services '!$F$26*'Objectifs de ventes (quantité)'!AK4)</f>
        <v>281542.74346330081</v>
      </c>
      <c r="AK2" s="114">
        <f>('Prix des produits et services '!$F$24*'Objectifs de ventes (quantité)'!AL2)+('Prix des produits et services '!$F$25*'Objectifs de ventes (quantité)'!AL3)+('Prix des produits et services '!$F$26*'Objectifs de ventes (quantité)'!AL4)</f>
        <v>284358.17089793389</v>
      </c>
      <c r="AL2" s="114">
        <f>('Prix des produits et services '!$F$24*'Objectifs de ventes (quantité)'!AM2)+('Prix des produits et services '!$F$25*'Objectifs de ventes (quantité)'!AM3)+('Prix des produits et services '!$F$26*'Objectifs de ventes (quantité)'!AM4)</f>
        <v>287201.75260691321</v>
      </c>
      <c r="AM2" s="114">
        <f>('Prix des produits et services '!$F$24*'Objectifs de ventes (quantité)'!AN2)+('Prix des produits et services '!$F$25*'Objectifs de ventes (quantité)'!AN3)+('Prix des produits et services '!$F$26*'Objectifs de ventes (quantité)'!AN4)</f>
        <v>290073.77013298235</v>
      </c>
      <c r="AN2" s="100">
        <f>SUM(AB2:AM2)</f>
        <v>3297450.7834312133</v>
      </c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12">
        <f>SUM(AO2:AZ2)</f>
        <v>0</v>
      </c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12">
        <f>SUM(BB2:BM2)</f>
        <v>0</v>
      </c>
    </row>
    <row r="3" spans="1:66" ht="28.8" x14ac:dyDescent="0.3">
      <c r="A3" s="14" t="s">
        <v>123</v>
      </c>
      <c r="B3" s="135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12">
        <f t="shared" ref="N3:N23" si="0">SUM(B3:M3)</f>
        <v>0</v>
      </c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12">
        <f t="shared" ref="AA3:AA21" si="1">SUM(O3:Z3)</f>
        <v>0</v>
      </c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12">
        <f t="shared" ref="AN3:AN21" si="2">SUM(AB3:AM3)</f>
        <v>0</v>
      </c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12">
        <f t="shared" ref="BA3:BA23" si="3">SUM(AO3:AZ3)</f>
        <v>0</v>
      </c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12">
        <f t="shared" ref="BN3:BN23" si="4">SUM(BB3:BM3)</f>
        <v>0</v>
      </c>
    </row>
    <row r="4" spans="1:66" ht="28.8" x14ac:dyDescent="0.3">
      <c r="A4" s="14" t="s">
        <v>125</v>
      </c>
      <c r="B4" s="9"/>
      <c r="C4" s="9">
        <f>C2-B2</f>
        <v>0</v>
      </c>
      <c r="D4" s="9">
        <f>D2-C2</f>
        <v>0</v>
      </c>
      <c r="E4" s="9">
        <f t="shared" ref="E4:M4" si="5">E2-D2</f>
        <v>0</v>
      </c>
      <c r="F4" s="9">
        <f t="shared" si="5"/>
        <v>0</v>
      </c>
      <c r="G4" s="9">
        <f t="shared" si="5"/>
        <v>0</v>
      </c>
      <c r="H4" s="9">
        <f t="shared" si="5"/>
        <v>0</v>
      </c>
      <c r="I4" s="9">
        <f t="shared" si="5"/>
        <v>0</v>
      </c>
      <c r="J4" s="9">
        <f t="shared" si="5"/>
        <v>0</v>
      </c>
      <c r="K4" s="9">
        <f t="shared" si="5"/>
        <v>0</v>
      </c>
      <c r="L4" s="9">
        <f>L2-K2</f>
        <v>0</v>
      </c>
      <c r="M4" s="9">
        <f t="shared" si="5"/>
        <v>0</v>
      </c>
      <c r="N4" s="12">
        <f>SUM(B4:M4)</f>
        <v>0</v>
      </c>
      <c r="O4" s="9"/>
      <c r="P4" s="9">
        <f t="shared" ref="P4:BM5" si="6">P2-O2</f>
        <v>7500</v>
      </c>
      <c r="Q4" s="9">
        <f t="shared" si="6"/>
        <v>7500</v>
      </c>
      <c r="R4" s="9">
        <f t="shared" si="6"/>
        <v>7500</v>
      </c>
      <c r="S4" s="9">
        <f t="shared" si="6"/>
        <v>7500</v>
      </c>
      <c r="T4" s="9">
        <f t="shared" si="6"/>
        <v>7500</v>
      </c>
      <c r="U4" s="9">
        <f t="shared" si="6"/>
        <v>7500</v>
      </c>
      <c r="V4" s="9">
        <f t="shared" si="6"/>
        <v>7500</v>
      </c>
      <c r="W4" s="9">
        <f t="shared" si="6"/>
        <v>7500</v>
      </c>
      <c r="X4" s="9">
        <f t="shared" si="6"/>
        <v>7500</v>
      </c>
      <c r="Y4" s="9">
        <f t="shared" si="6"/>
        <v>7500</v>
      </c>
      <c r="Z4" s="9">
        <f t="shared" si="6"/>
        <v>15000</v>
      </c>
      <c r="AA4" s="12">
        <f t="shared" si="1"/>
        <v>90000</v>
      </c>
      <c r="AB4" s="9"/>
      <c r="AC4" s="9">
        <f>AC2-AB2</f>
        <v>2600</v>
      </c>
      <c r="AD4" s="9">
        <f>AD2-AC2</f>
        <v>2626</v>
      </c>
      <c r="AE4" s="9">
        <f t="shared" si="6"/>
        <v>2652.2600000000093</v>
      </c>
      <c r="AF4" s="9">
        <f t="shared" si="6"/>
        <v>2678.7825999999768</v>
      </c>
      <c r="AG4" s="9">
        <f t="shared" si="6"/>
        <v>2705.5704259999911</v>
      </c>
      <c r="AH4" s="9">
        <f t="shared" si="6"/>
        <v>2732.6261302600615</v>
      </c>
      <c r="AI4" s="9">
        <f t="shared" si="6"/>
        <v>2759.9523915625759</v>
      </c>
      <c r="AJ4" s="9">
        <f t="shared" si="6"/>
        <v>2787.5519154781941</v>
      </c>
      <c r="AK4" s="9">
        <f t="shared" si="6"/>
        <v>2815.4274346330785</v>
      </c>
      <c r="AL4" s="9">
        <f t="shared" si="6"/>
        <v>2843.5817089793272</v>
      </c>
      <c r="AM4" s="9">
        <f t="shared" si="6"/>
        <v>2872.0175260691321</v>
      </c>
      <c r="AN4" s="100">
        <f t="shared" si="2"/>
        <v>30073.770132982347</v>
      </c>
      <c r="AO4" s="9"/>
      <c r="AP4" s="9">
        <f>AP2-AO2</f>
        <v>0</v>
      </c>
      <c r="AQ4" s="9">
        <f>AQ2-AP2</f>
        <v>0</v>
      </c>
      <c r="AR4" s="9">
        <f t="shared" si="6"/>
        <v>0</v>
      </c>
      <c r="AS4" s="9">
        <f t="shared" si="6"/>
        <v>0</v>
      </c>
      <c r="AT4" s="9">
        <f t="shared" si="6"/>
        <v>0</v>
      </c>
      <c r="AU4" s="9">
        <f t="shared" si="6"/>
        <v>0</v>
      </c>
      <c r="AV4" s="9">
        <f t="shared" si="6"/>
        <v>0</v>
      </c>
      <c r="AW4" s="9">
        <f t="shared" si="6"/>
        <v>0</v>
      </c>
      <c r="AX4" s="9">
        <f t="shared" si="6"/>
        <v>0</v>
      </c>
      <c r="AY4" s="9">
        <f t="shared" si="6"/>
        <v>0</v>
      </c>
      <c r="AZ4" s="9">
        <f t="shared" si="6"/>
        <v>0</v>
      </c>
      <c r="BA4" s="12">
        <f t="shared" si="3"/>
        <v>0</v>
      </c>
      <c r="BB4" s="9"/>
      <c r="BC4" s="9">
        <f>BC2-BB2</f>
        <v>0</v>
      </c>
      <c r="BD4" s="9">
        <f>BD2-BC2</f>
        <v>0</v>
      </c>
      <c r="BE4" s="9">
        <f t="shared" si="6"/>
        <v>0</v>
      </c>
      <c r="BF4" s="9">
        <f t="shared" si="6"/>
        <v>0</v>
      </c>
      <c r="BG4" s="9">
        <f t="shared" si="6"/>
        <v>0</v>
      </c>
      <c r="BH4" s="9">
        <f t="shared" si="6"/>
        <v>0</v>
      </c>
      <c r="BI4" s="9">
        <f t="shared" si="6"/>
        <v>0</v>
      </c>
      <c r="BJ4" s="9">
        <f t="shared" si="6"/>
        <v>0</v>
      </c>
      <c r="BK4" s="9">
        <f t="shared" si="6"/>
        <v>0</v>
      </c>
      <c r="BL4" s="9">
        <f t="shared" si="6"/>
        <v>0</v>
      </c>
      <c r="BM4" s="9">
        <f t="shared" si="6"/>
        <v>0</v>
      </c>
      <c r="BN4" s="12">
        <f t="shared" si="4"/>
        <v>0</v>
      </c>
    </row>
    <row r="5" spans="1:66" ht="28.8" x14ac:dyDescent="0.3">
      <c r="A5" s="14" t="s">
        <v>126</v>
      </c>
      <c r="B5" s="9"/>
      <c r="C5" s="9">
        <f>C3-B3</f>
        <v>0</v>
      </c>
      <c r="D5" s="9">
        <f t="shared" ref="D5:M5" si="7">D3-C3</f>
        <v>0</v>
      </c>
      <c r="E5" s="9">
        <f t="shared" si="7"/>
        <v>0</v>
      </c>
      <c r="F5" s="9">
        <f t="shared" si="7"/>
        <v>0</v>
      </c>
      <c r="G5" s="9">
        <f t="shared" si="7"/>
        <v>0</v>
      </c>
      <c r="H5" s="9">
        <f t="shared" si="7"/>
        <v>0</v>
      </c>
      <c r="I5" s="9">
        <f t="shared" si="7"/>
        <v>0</v>
      </c>
      <c r="J5" s="9">
        <f t="shared" si="7"/>
        <v>0</v>
      </c>
      <c r="K5" s="9">
        <f t="shared" si="7"/>
        <v>0</v>
      </c>
      <c r="L5" s="9">
        <f t="shared" si="7"/>
        <v>0</v>
      </c>
      <c r="M5" s="9">
        <f t="shared" si="7"/>
        <v>0</v>
      </c>
      <c r="N5" s="12">
        <f t="shared" si="0"/>
        <v>0</v>
      </c>
      <c r="O5" s="9"/>
      <c r="P5" s="9">
        <f>P3-O3</f>
        <v>0</v>
      </c>
      <c r="Q5" s="9">
        <f t="shared" si="6"/>
        <v>0</v>
      </c>
      <c r="R5" s="9">
        <f t="shared" si="6"/>
        <v>0</v>
      </c>
      <c r="S5" s="9">
        <f t="shared" si="6"/>
        <v>0</v>
      </c>
      <c r="T5" s="9">
        <f t="shared" si="6"/>
        <v>0</v>
      </c>
      <c r="U5" s="9">
        <f t="shared" si="6"/>
        <v>0</v>
      </c>
      <c r="V5" s="9">
        <f t="shared" si="6"/>
        <v>0</v>
      </c>
      <c r="W5" s="9">
        <f t="shared" si="6"/>
        <v>0</v>
      </c>
      <c r="X5" s="9">
        <f t="shared" si="6"/>
        <v>0</v>
      </c>
      <c r="Y5" s="9">
        <f t="shared" si="6"/>
        <v>0</v>
      </c>
      <c r="Z5" s="9">
        <f t="shared" si="6"/>
        <v>0</v>
      </c>
      <c r="AA5" s="12">
        <f t="shared" si="1"/>
        <v>0</v>
      </c>
      <c r="AB5" s="9"/>
      <c r="AC5" s="9">
        <f>AC3-AB3</f>
        <v>0</v>
      </c>
      <c r="AD5" s="9">
        <f t="shared" si="6"/>
        <v>0</v>
      </c>
      <c r="AE5" s="9">
        <f t="shared" si="6"/>
        <v>0</v>
      </c>
      <c r="AF5" s="9">
        <f t="shared" si="6"/>
        <v>0</v>
      </c>
      <c r="AG5" s="9">
        <f t="shared" si="6"/>
        <v>0</v>
      </c>
      <c r="AH5" s="9">
        <f t="shared" si="6"/>
        <v>0</v>
      </c>
      <c r="AI5" s="9">
        <f t="shared" si="6"/>
        <v>0</v>
      </c>
      <c r="AJ5" s="9">
        <f t="shared" si="6"/>
        <v>0</v>
      </c>
      <c r="AK5" s="9">
        <f t="shared" si="6"/>
        <v>0</v>
      </c>
      <c r="AL5" s="9">
        <f t="shared" si="6"/>
        <v>0</v>
      </c>
      <c r="AM5" s="9">
        <f t="shared" si="6"/>
        <v>0</v>
      </c>
      <c r="AN5" s="12">
        <f t="shared" si="2"/>
        <v>0</v>
      </c>
      <c r="AO5" s="9"/>
      <c r="AP5" s="9">
        <f>AP3-AO3</f>
        <v>0</v>
      </c>
      <c r="AQ5" s="9">
        <f t="shared" si="6"/>
        <v>0</v>
      </c>
      <c r="AR5" s="9">
        <f t="shared" si="6"/>
        <v>0</v>
      </c>
      <c r="AS5" s="9">
        <f t="shared" si="6"/>
        <v>0</v>
      </c>
      <c r="AT5" s="9">
        <f t="shared" si="6"/>
        <v>0</v>
      </c>
      <c r="AU5" s="9">
        <f t="shared" si="6"/>
        <v>0</v>
      </c>
      <c r="AV5" s="9">
        <f t="shared" si="6"/>
        <v>0</v>
      </c>
      <c r="AW5" s="9">
        <f t="shared" si="6"/>
        <v>0</v>
      </c>
      <c r="AX5" s="9">
        <f t="shared" si="6"/>
        <v>0</v>
      </c>
      <c r="AY5" s="9">
        <f t="shared" si="6"/>
        <v>0</v>
      </c>
      <c r="AZ5" s="9">
        <f t="shared" si="6"/>
        <v>0</v>
      </c>
      <c r="BA5" s="12">
        <f t="shared" si="3"/>
        <v>0</v>
      </c>
      <c r="BB5" s="9"/>
      <c r="BC5" s="9">
        <f>BC3-BB3</f>
        <v>0</v>
      </c>
      <c r="BD5" s="9">
        <f t="shared" si="6"/>
        <v>0</v>
      </c>
      <c r="BE5" s="9">
        <f t="shared" si="6"/>
        <v>0</v>
      </c>
      <c r="BF5" s="9">
        <f t="shared" si="6"/>
        <v>0</v>
      </c>
      <c r="BG5" s="9">
        <f t="shared" si="6"/>
        <v>0</v>
      </c>
      <c r="BH5" s="9">
        <f t="shared" si="6"/>
        <v>0</v>
      </c>
      <c r="BI5" s="9">
        <f t="shared" si="6"/>
        <v>0</v>
      </c>
      <c r="BJ5" s="9">
        <f t="shared" si="6"/>
        <v>0</v>
      </c>
      <c r="BK5" s="9">
        <f t="shared" si="6"/>
        <v>0</v>
      </c>
      <c r="BL5" s="9">
        <f t="shared" si="6"/>
        <v>0</v>
      </c>
      <c r="BM5" s="9">
        <f t="shared" si="6"/>
        <v>0</v>
      </c>
      <c r="BN5" s="12">
        <f t="shared" si="4"/>
        <v>0</v>
      </c>
    </row>
    <row r="6" spans="1:66" ht="63.75" customHeight="1" x14ac:dyDescent="0.3">
      <c r="A6" s="14" t="s">
        <v>127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12">
        <f t="shared" si="0"/>
        <v>0</v>
      </c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12">
        <f t="shared" si="1"/>
        <v>0</v>
      </c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12">
        <f t="shared" si="2"/>
        <v>0</v>
      </c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12">
        <f t="shared" si="3"/>
        <v>0</v>
      </c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12">
        <f t="shared" si="4"/>
        <v>0</v>
      </c>
    </row>
    <row r="7" spans="1:66" ht="67.5" customHeight="1" x14ac:dyDescent="0.3">
      <c r="A7" s="14" t="s">
        <v>128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12">
        <f t="shared" si="0"/>
        <v>0</v>
      </c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12">
        <f t="shared" si="1"/>
        <v>0</v>
      </c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12">
        <f t="shared" si="2"/>
        <v>0</v>
      </c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12">
        <f t="shared" si="3"/>
        <v>0</v>
      </c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12">
        <f t="shared" si="4"/>
        <v>0</v>
      </c>
    </row>
    <row r="8" spans="1:66" x14ac:dyDescent="0.3">
      <c r="A8" s="14" t="s">
        <v>129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100">
        <f t="shared" si="0"/>
        <v>0</v>
      </c>
      <c r="O8" s="28">
        <f t="shared" ref="O8:AM8" si="8">0.05*O2</f>
        <v>3750</v>
      </c>
      <c r="P8" s="28">
        <f t="shared" si="8"/>
        <v>4125</v>
      </c>
      <c r="Q8" s="28">
        <f t="shared" si="8"/>
        <v>4500</v>
      </c>
      <c r="R8" s="28">
        <f t="shared" si="8"/>
        <v>4875</v>
      </c>
      <c r="S8" s="28">
        <f t="shared" si="8"/>
        <v>5250</v>
      </c>
      <c r="T8" s="28">
        <f t="shared" si="8"/>
        <v>5625</v>
      </c>
      <c r="U8" s="28">
        <f t="shared" si="8"/>
        <v>6000</v>
      </c>
      <c r="V8" s="28">
        <f t="shared" si="8"/>
        <v>6375</v>
      </c>
      <c r="W8" s="28">
        <f t="shared" si="8"/>
        <v>6750</v>
      </c>
      <c r="X8" s="28">
        <f t="shared" si="8"/>
        <v>7125</v>
      </c>
      <c r="Y8" s="28">
        <f t="shared" si="8"/>
        <v>7500</v>
      </c>
      <c r="Z8" s="28">
        <f t="shared" si="8"/>
        <v>8250</v>
      </c>
      <c r="AA8" s="100">
        <f t="shared" si="1"/>
        <v>70125</v>
      </c>
      <c r="AB8" s="28">
        <f t="shared" ref="AB8" si="9">0.05*AB2</f>
        <v>13000</v>
      </c>
      <c r="AC8" s="28">
        <f t="shared" si="8"/>
        <v>13130</v>
      </c>
      <c r="AD8" s="28">
        <f t="shared" si="8"/>
        <v>13261.300000000001</v>
      </c>
      <c r="AE8" s="28">
        <f t="shared" si="8"/>
        <v>13393.913</v>
      </c>
      <c r="AF8" s="28">
        <f t="shared" si="8"/>
        <v>13527.852129999999</v>
      </c>
      <c r="AG8" s="28">
        <f t="shared" si="8"/>
        <v>13663.1306513</v>
      </c>
      <c r="AH8" s="28">
        <f t="shared" si="8"/>
        <v>13799.761957813003</v>
      </c>
      <c r="AI8" s="28">
        <f t="shared" si="8"/>
        <v>13937.759577391131</v>
      </c>
      <c r="AJ8" s="28">
        <f t="shared" si="8"/>
        <v>14077.137173165042</v>
      </c>
      <c r="AK8" s="28">
        <f t="shared" si="8"/>
        <v>14217.908544896694</v>
      </c>
      <c r="AL8" s="28">
        <f t="shared" si="8"/>
        <v>14360.087630345661</v>
      </c>
      <c r="AM8" s="28">
        <f t="shared" si="8"/>
        <v>14503.688506649118</v>
      </c>
      <c r="AN8" s="100">
        <f t="shared" si="2"/>
        <v>164872.53917156067</v>
      </c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12">
        <f t="shared" si="3"/>
        <v>0</v>
      </c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12">
        <f t="shared" si="4"/>
        <v>0</v>
      </c>
    </row>
    <row r="9" spans="1:66" x14ac:dyDescent="0.3">
      <c r="A9" s="14" t="s">
        <v>130</v>
      </c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115">
        <f t="shared" si="0"/>
        <v>0</v>
      </c>
      <c r="O9" s="27">
        <f t="shared" ref="O9:AM9" si="10">0.1*O2</f>
        <v>7500</v>
      </c>
      <c r="P9" s="27">
        <f t="shared" si="10"/>
        <v>8250</v>
      </c>
      <c r="Q9" s="27">
        <f t="shared" si="10"/>
        <v>9000</v>
      </c>
      <c r="R9" s="27">
        <f t="shared" si="10"/>
        <v>9750</v>
      </c>
      <c r="S9" s="27">
        <f t="shared" si="10"/>
        <v>10500</v>
      </c>
      <c r="T9" s="27">
        <f t="shared" si="10"/>
        <v>11250</v>
      </c>
      <c r="U9" s="27">
        <f t="shared" si="10"/>
        <v>12000</v>
      </c>
      <c r="V9" s="27">
        <f t="shared" si="10"/>
        <v>12750</v>
      </c>
      <c r="W9" s="27">
        <f t="shared" si="10"/>
        <v>13500</v>
      </c>
      <c r="X9" s="27">
        <f t="shared" si="10"/>
        <v>14250</v>
      </c>
      <c r="Y9" s="27">
        <f t="shared" si="10"/>
        <v>15000</v>
      </c>
      <c r="Z9" s="27">
        <f t="shared" si="10"/>
        <v>16500</v>
      </c>
      <c r="AA9" s="115">
        <f t="shared" si="1"/>
        <v>140250</v>
      </c>
      <c r="AB9" s="27">
        <f t="shared" ref="AB9" si="11">0.1*AB2</f>
        <v>26000</v>
      </c>
      <c r="AC9" s="27">
        <f t="shared" si="10"/>
        <v>26260</v>
      </c>
      <c r="AD9" s="27">
        <f t="shared" si="10"/>
        <v>26522.600000000002</v>
      </c>
      <c r="AE9" s="27">
        <f t="shared" si="10"/>
        <v>26787.826000000001</v>
      </c>
      <c r="AF9" s="27">
        <f t="shared" si="10"/>
        <v>27055.704259999999</v>
      </c>
      <c r="AG9" s="27">
        <f t="shared" si="10"/>
        <v>27326.2613026</v>
      </c>
      <c r="AH9" s="27">
        <f t="shared" si="10"/>
        <v>27599.523915626007</v>
      </c>
      <c r="AI9" s="27">
        <f t="shared" si="10"/>
        <v>27875.519154782261</v>
      </c>
      <c r="AJ9" s="27">
        <f t="shared" si="10"/>
        <v>28154.274346330083</v>
      </c>
      <c r="AK9" s="27">
        <f t="shared" si="10"/>
        <v>28435.817089793389</v>
      </c>
      <c r="AL9" s="27">
        <f t="shared" si="10"/>
        <v>28720.175260691321</v>
      </c>
      <c r="AM9" s="27">
        <f t="shared" si="10"/>
        <v>29007.377013298235</v>
      </c>
      <c r="AN9" s="115">
        <f t="shared" si="2"/>
        <v>329745.07834312133</v>
      </c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12">
        <f t="shared" si="3"/>
        <v>0</v>
      </c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12">
        <f t="shared" si="4"/>
        <v>0</v>
      </c>
    </row>
    <row r="10" spans="1:66" x14ac:dyDescent="0.3">
      <c r="A10" s="14" t="s">
        <v>131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12">
        <f t="shared" si="0"/>
        <v>0</v>
      </c>
      <c r="O10" s="29">
        <f t="shared" ref="O10:AM10" si="12">O2*0.1</f>
        <v>7500</v>
      </c>
      <c r="P10" s="29">
        <f t="shared" si="12"/>
        <v>8250</v>
      </c>
      <c r="Q10" s="29">
        <f t="shared" si="12"/>
        <v>9000</v>
      </c>
      <c r="R10" s="29">
        <f t="shared" si="12"/>
        <v>9750</v>
      </c>
      <c r="S10" s="29">
        <f t="shared" si="12"/>
        <v>10500</v>
      </c>
      <c r="T10" s="29">
        <f t="shared" si="12"/>
        <v>11250</v>
      </c>
      <c r="U10" s="29">
        <f t="shared" si="12"/>
        <v>12000</v>
      </c>
      <c r="V10" s="29">
        <f t="shared" si="12"/>
        <v>12750</v>
      </c>
      <c r="W10" s="29">
        <f t="shared" si="12"/>
        <v>13500</v>
      </c>
      <c r="X10" s="29">
        <f t="shared" si="12"/>
        <v>14250</v>
      </c>
      <c r="Y10" s="29">
        <f t="shared" si="12"/>
        <v>15000</v>
      </c>
      <c r="Z10" s="29">
        <f t="shared" si="12"/>
        <v>16500</v>
      </c>
      <c r="AA10" s="12">
        <f t="shared" si="1"/>
        <v>140250</v>
      </c>
      <c r="AB10" s="29">
        <f t="shared" ref="AB10" si="13">AB2*0.1</f>
        <v>26000</v>
      </c>
      <c r="AC10" s="29">
        <f t="shared" si="12"/>
        <v>26260</v>
      </c>
      <c r="AD10" s="29">
        <f t="shared" si="12"/>
        <v>26522.600000000002</v>
      </c>
      <c r="AE10" s="29">
        <f t="shared" si="12"/>
        <v>26787.826000000001</v>
      </c>
      <c r="AF10" s="29">
        <f t="shared" si="12"/>
        <v>27055.704259999999</v>
      </c>
      <c r="AG10" s="29">
        <f t="shared" si="12"/>
        <v>27326.2613026</v>
      </c>
      <c r="AH10" s="29">
        <f t="shared" si="12"/>
        <v>27599.523915626007</v>
      </c>
      <c r="AI10" s="29">
        <f t="shared" si="12"/>
        <v>27875.519154782261</v>
      </c>
      <c r="AJ10" s="29">
        <f t="shared" si="12"/>
        <v>28154.274346330083</v>
      </c>
      <c r="AK10" s="29">
        <f t="shared" si="12"/>
        <v>28435.817089793389</v>
      </c>
      <c r="AL10" s="29">
        <f t="shared" si="12"/>
        <v>28720.175260691321</v>
      </c>
      <c r="AM10" s="29">
        <f t="shared" si="12"/>
        <v>29007.377013298235</v>
      </c>
      <c r="AN10" s="12">
        <f t="shared" si="2"/>
        <v>329745.07834312133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12">
        <f t="shared" si="3"/>
        <v>0</v>
      </c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12">
        <f t="shared" si="4"/>
        <v>0</v>
      </c>
    </row>
    <row r="11" spans="1:66" ht="28.8" x14ac:dyDescent="0.3">
      <c r="A11" s="14" t="s">
        <v>132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12">
        <f t="shared" si="0"/>
        <v>0</v>
      </c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12">
        <f t="shared" si="1"/>
        <v>0</v>
      </c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12">
        <f t="shared" si="2"/>
        <v>0</v>
      </c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12">
        <f t="shared" si="3"/>
        <v>0</v>
      </c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12">
        <f t="shared" si="4"/>
        <v>0</v>
      </c>
    </row>
    <row r="12" spans="1:66" x14ac:dyDescent="0.3">
      <c r="A12" s="14" t="s">
        <v>133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12">
        <f t="shared" si="0"/>
        <v>0</v>
      </c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12">
        <f t="shared" si="1"/>
        <v>0</v>
      </c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12">
        <f t="shared" si="2"/>
        <v>0</v>
      </c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12">
        <f t="shared" si="3"/>
        <v>0</v>
      </c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12">
        <f t="shared" si="4"/>
        <v>0</v>
      </c>
    </row>
    <row r="13" spans="1:66" ht="43.2" x14ac:dyDescent="0.3">
      <c r="A13" s="14" t="s">
        <v>134</v>
      </c>
      <c r="B13" s="28">
        <f>150000</f>
        <v>150000</v>
      </c>
      <c r="C13" s="28">
        <f t="shared" ref="C13:M13" si="14">150000</f>
        <v>150000</v>
      </c>
      <c r="D13" s="28">
        <f t="shared" si="14"/>
        <v>150000</v>
      </c>
      <c r="E13" s="28">
        <f t="shared" si="14"/>
        <v>150000</v>
      </c>
      <c r="F13" s="28">
        <f t="shared" si="14"/>
        <v>150000</v>
      </c>
      <c r="G13" s="28">
        <f t="shared" si="14"/>
        <v>150000</v>
      </c>
      <c r="H13" s="28">
        <f t="shared" si="14"/>
        <v>150000</v>
      </c>
      <c r="I13" s="28">
        <f t="shared" si="14"/>
        <v>150000</v>
      </c>
      <c r="J13" s="28">
        <f t="shared" si="14"/>
        <v>150000</v>
      </c>
      <c r="K13" s="28">
        <f t="shared" si="14"/>
        <v>150000</v>
      </c>
      <c r="L13" s="28">
        <f t="shared" si="14"/>
        <v>150000</v>
      </c>
      <c r="M13" s="28">
        <f t="shared" si="14"/>
        <v>150000</v>
      </c>
      <c r="N13" s="12">
        <f t="shared" si="0"/>
        <v>1800000</v>
      </c>
      <c r="O13" s="28">
        <f t="shared" ref="O13:AM13" si="15">150000</f>
        <v>150000</v>
      </c>
      <c r="P13" s="28">
        <f t="shared" si="15"/>
        <v>150000</v>
      </c>
      <c r="Q13" s="28">
        <f t="shared" si="15"/>
        <v>150000</v>
      </c>
      <c r="R13" s="28">
        <f t="shared" si="15"/>
        <v>150000</v>
      </c>
      <c r="S13" s="28">
        <f t="shared" si="15"/>
        <v>150000</v>
      </c>
      <c r="T13" s="28">
        <f t="shared" si="15"/>
        <v>150000</v>
      </c>
      <c r="U13" s="28">
        <f t="shared" si="15"/>
        <v>150000</v>
      </c>
      <c r="V13" s="28">
        <f t="shared" si="15"/>
        <v>150000</v>
      </c>
      <c r="W13" s="28">
        <f t="shared" si="15"/>
        <v>150000</v>
      </c>
      <c r="X13" s="28">
        <f t="shared" si="15"/>
        <v>150000</v>
      </c>
      <c r="Y13" s="28">
        <f t="shared" si="15"/>
        <v>150000</v>
      </c>
      <c r="Z13" s="28">
        <f t="shared" si="15"/>
        <v>150000</v>
      </c>
      <c r="AA13" s="12">
        <f t="shared" si="1"/>
        <v>1800000</v>
      </c>
      <c r="AB13" s="28">
        <f t="shared" ref="AB13" si="16">150000</f>
        <v>150000</v>
      </c>
      <c r="AC13" s="28">
        <f t="shared" si="15"/>
        <v>150000</v>
      </c>
      <c r="AD13" s="28">
        <f t="shared" si="15"/>
        <v>150000</v>
      </c>
      <c r="AE13" s="28">
        <f t="shared" si="15"/>
        <v>150000</v>
      </c>
      <c r="AF13" s="28">
        <f t="shared" si="15"/>
        <v>150000</v>
      </c>
      <c r="AG13" s="28">
        <f t="shared" si="15"/>
        <v>150000</v>
      </c>
      <c r="AH13" s="28">
        <f t="shared" si="15"/>
        <v>150000</v>
      </c>
      <c r="AI13" s="28">
        <f t="shared" si="15"/>
        <v>150000</v>
      </c>
      <c r="AJ13" s="28">
        <f t="shared" si="15"/>
        <v>150000</v>
      </c>
      <c r="AK13" s="28">
        <f t="shared" si="15"/>
        <v>150000</v>
      </c>
      <c r="AL13" s="28">
        <f t="shared" si="15"/>
        <v>150000</v>
      </c>
      <c r="AM13" s="28">
        <f t="shared" si="15"/>
        <v>150000</v>
      </c>
      <c r="AN13" s="100">
        <f t="shared" si="2"/>
        <v>1800000</v>
      </c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12">
        <f t="shared" si="3"/>
        <v>0</v>
      </c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12">
        <f t="shared" si="4"/>
        <v>0</v>
      </c>
    </row>
    <row r="14" spans="1:66" ht="28.8" x14ac:dyDescent="0.3">
      <c r="A14" s="14" t="s">
        <v>135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12">
        <f t="shared" si="0"/>
        <v>0</v>
      </c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12">
        <f t="shared" si="1"/>
        <v>0</v>
      </c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12">
        <f t="shared" si="2"/>
        <v>0</v>
      </c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12">
        <f t="shared" si="3"/>
        <v>0</v>
      </c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12">
        <f t="shared" si="4"/>
        <v>0</v>
      </c>
    </row>
    <row r="15" spans="1:66" ht="43.2" x14ac:dyDescent="0.3">
      <c r="A15" s="14" t="s">
        <v>124</v>
      </c>
      <c r="B15" s="28">
        <f>0.05*'Chiffre d''affaires prévisionnel'!C22</f>
        <v>8750</v>
      </c>
      <c r="C15" s="28">
        <f>0.05*'Chiffre d''affaires prévisionnel'!D22</f>
        <v>17500</v>
      </c>
      <c r="D15" s="28">
        <f>0.05*'Chiffre d''affaires prévisionnel'!E22</f>
        <v>26250</v>
      </c>
      <c r="E15" s="28">
        <f>0.05*'Chiffre d''affaires prévisionnel'!F22</f>
        <v>35000</v>
      </c>
      <c r="F15" s="28">
        <f>0.05*'Chiffre d''affaires prévisionnel'!G22</f>
        <v>43750</v>
      </c>
      <c r="G15" s="28">
        <f>0.05*'Chiffre d''affaires prévisionnel'!H22</f>
        <v>52500</v>
      </c>
      <c r="H15" s="28">
        <f>0.05*'Chiffre d''affaires prévisionnel'!I22</f>
        <v>70000</v>
      </c>
      <c r="I15" s="28">
        <f>0.05*'Chiffre d''affaires prévisionnel'!J22</f>
        <v>78750</v>
      </c>
      <c r="J15" s="28">
        <f>0.05*'Chiffre d''affaires prévisionnel'!K22</f>
        <v>78750</v>
      </c>
      <c r="K15" s="28">
        <f>0.05*'Chiffre d''affaires prévisionnel'!L22</f>
        <v>78750</v>
      </c>
      <c r="L15" s="28">
        <f>0.05*'Chiffre d''affaires prévisionnel'!M22</f>
        <v>78750</v>
      </c>
      <c r="M15" s="28">
        <f>0.05*'Chiffre d''affaires prévisionnel'!N22</f>
        <v>78750</v>
      </c>
      <c r="N15" s="100">
        <f t="shared" si="0"/>
        <v>647500</v>
      </c>
      <c r="O15" s="28">
        <f>0.05*'Chiffre d''affaires prévisionnel'!P22</f>
        <v>87500</v>
      </c>
      <c r="P15" s="28">
        <f>0.05*'Chiffre d''affaires prévisionnel'!Q22</f>
        <v>96250</v>
      </c>
      <c r="Q15" s="28">
        <f>0.05*'Chiffre d''affaires prévisionnel'!R22</f>
        <v>105000</v>
      </c>
      <c r="R15" s="28">
        <f>0.05*'Chiffre d''affaires prévisionnel'!S22</f>
        <v>113750</v>
      </c>
      <c r="S15" s="28">
        <f>0.05*'Chiffre d''affaires prévisionnel'!T22</f>
        <v>122500</v>
      </c>
      <c r="T15" s="28">
        <f>0.05*'Chiffre d''affaires prévisionnel'!U22</f>
        <v>131250</v>
      </c>
      <c r="U15" s="28">
        <f>0.05*'Chiffre d''affaires prévisionnel'!V22</f>
        <v>140000</v>
      </c>
      <c r="V15" s="28">
        <f>0.05*'Chiffre d''affaires prévisionnel'!W22</f>
        <v>148750</v>
      </c>
      <c r="W15" s="28">
        <f>0.05*'Chiffre d''affaires prévisionnel'!X22</f>
        <v>157500</v>
      </c>
      <c r="X15" s="28">
        <f>0.05*'Chiffre d''affaires prévisionnel'!Y22</f>
        <v>166250</v>
      </c>
      <c r="Y15" s="28">
        <f>0.05*'Chiffre d''affaires prévisionnel'!Z22</f>
        <v>175000</v>
      </c>
      <c r="Z15" s="28">
        <f>0.05*'Chiffre d''affaires prévisionnel'!AA22</f>
        <v>192500</v>
      </c>
      <c r="AA15" s="100">
        <f t="shared" si="1"/>
        <v>1636250</v>
      </c>
      <c r="AB15" s="28">
        <f>0.05*'Chiffre d''affaires prévisionnel'!AC22</f>
        <v>260000</v>
      </c>
      <c r="AC15" s="28">
        <f>0.05*'Chiffre d''affaires prévisionnel'!AD22</f>
        <v>262600</v>
      </c>
      <c r="AD15" s="28">
        <f>0.05*'Chiffre d''affaires prévisionnel'!AE22</f>
        <v>265226</v>
      </c>
      <c r="AE15" s="28">
        <f>0.05*'Chiffre d''affaires prévisionnel'!AF22</f>
        <v>267878.26</v>
      </c>
      <c r="AF15" s="28">
        <f>0.05*'Chiffre d''affaires prévisionnel'!AG22</f>
        <v>270557.04259999999</v>
      </c>
      <c r="AG15" s="28">
        <f>0.05*'Chiffre d''affaires prévisionnel'!AH22</f>
        <v>273262.61302600004</v>
      </c>
      <c r="AH15" s="28">
        <f>0.05*'Chiffre d''affaires prévisionnel'!AI22</f>
        <v>275995.23915626004</v>
      </c>
      <c r="AI15" s="28">
        <f>0.05*'Chiffre d''affaires prévisionnel'!AJ22</f>
        <v>278755.19154782261</v>
      </c>
      <c r="AJ15" s="28">
        <f>0.05*'Chiffre d''affaires prévisionnel'!AK22</f>
        <v>281542.74346330081</v>
      </c>
      <c r="AK15" s="28">
        <f>0.05*'Chiffre d''affaires prévisionnel'!AL22</f>
        <v>284358.17089793383</v>
      </c>
      <c r="AL15" s="28">
        <f>0.05*'Chiffre d''affaires prévisionnel'!AM22</f>
        <v>287201.75260691321</v>
      </c>
      <c r="AM15" s="28">
        <f>0.05*'Chiffre d''affaires prévisionnel'!AN22</f>
        <v>290073.77013298235</v>
      </c>
      <c r="AN15" s="100">
        <f t="shared" si="2"/>
        <v>3297450.7834312124</v>
      </c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12">
        <f t="shared" si="3"/>
        <v>0</v>
      </c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12">
        <f t="shared" si="4"/>
        <v>0</v>
      </c>
    </row>
    <row r="16" spans="1:66" ht="28.8" x14ac:dyDescent="0.3">
      <c r="A16" s="14" t="s">
        <v>136</v>
      </c>
      <c r="B16" s="28">
        <v>50000</v>
      </c>
      <c r="C16" s="28">
        <v>50000</v>
      </c>
      <c r="D16" s="28">
        <v>50000</v>
      </c>
      <c r="E16" s="28">
        <v>50000</v>
      </c>
      <c r="F16" s="28">
        <v>50000</v>
      </c>
      <c r="G16" s="28">
        <v>50000</v>
      </c>
      <c r="H16" s="28">
        <v>50000</v>
      </c>
      <c r="I16" s="28">
        <v>50000</v>
      </c>
      <c r="J16" s="28">
        <v>50000</v>
      </c>
      <c r="K16" s="28">
        <v>50000</v>
      </c>
      <c r="L16" s="28">
        <v>50000</v>
      </c>
      <c r="M16" s="28">
        <v>50000</v>
      </c>
      <c r="N16" s="100">
        <f t="shared" si="0"/>
        <v>600000</v>
      </c>
      <c r="O16" s="28">
        <v>50000</v>
      </c>
      <c r="P16" s="28">
        <v>50000</v>
      </c>
      <c r="Q16" s="28">
        <v>50000</v>
      </c>
      <c r="R16" s="28">
        <v>50000</v>
      </c>
      <c r="S16" s="28">
        <v>50000</v>
      </c>
      <c r="T16" s="28">
        <v>50000</v>
      </c>
      <c r="U16" s="28">
        <v>50000</v>
      </c>
      <c r="V16" s="28">
        <v>50000</v>
      </c>
      <c r="W16" s="28">
        <v>50000</v>
      </c>
      <c r="X16" s="28">
        <v>50000</v>
      </c>
      <c r="Y16" s="28">
        <v>50000</v>
      </c>
      <c r="Z16" s="28">
        <v>50000</v>
      </c>
      <c r="AA16" s="100">
        <f t="shared" si="1"/>
        <v>600000</v>
      </c>
      <c r="AB16" s="28">
        <v>50000</v>
      </c>
      <c r="AC16" s="28">
        <v>50000</v>
      </c>
      <c r="AD16" s="28">
        <v>50000</v>
      </c>
      <c r="AE16" s="28">
        <v>50000</v>
      </c>
      <c r="AF16" s="28">
        <v>50000</v>
      </c>
      <c r="AG16" s="28">
        <v>50000</v>
      </c>
      <c r="AH16" s="28">
        <v>50000</v>
      </c>
      <c r="AI16" s="28">
        <v>50000</v>
      </c>
      <c r="AJ16" s="28">
        <v>50000</v>
      </c>
      <c r="AK16" s="28">
        <v>50000</v>
      </c>
      <c r="AL16" s="28">
        <v>50000</v>
      </c>
      <c r="AM16" s="28">
        <v>50000</v>
      </c>
      <c r="AN16" s="100">
        <f t="shared" si="2"/>
        <v>600000</v>
      </c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12">
        <f t="shared" si="3"/>
        <v>0</v>
      </c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12">
        <f t="shared" si="4"/>
        <v>0</v>
      </c>
    </row>
    <row r="17" spans="1:66" x14ac:dyDescent="0.3">
      <c r="A17" s="14" t="s">
        <v>137</v>
      </c>
      <c r="B17" s="9">
        <v>5000</v>
      </c>
      <c r="C17" s="9">
        <v>5000</v>
      </c>
      <c r="D17" s="9">
        <v>5000</v>
      </c>
      <c r="E17" s="9">
        <v>5000</v>
      </c>
      <c r="F17" s="9">
        <v>5000</v>
      </c>
      <c r="G17" s="9">
        <v>5000</v>
      </c>
      <c r="H17" s="9">
        <v>5000</v>
      </c>
      <c r="I17" s="9">
        <v>5000</v>
      </c>
      <c r="J17" s="9">
        <v>5000</v>
      </c>
      <c r="K17" s="9">
        <v>5000</v>
      </c>
      <c r="L17" s="9">
        <v>5000</v>
      </c>
      <c r="M17" s="9">
        <v>5000</v>
      </c>
      <c r="N17" s="100">
        <f t="shared" si="0"/>
        <v>60000</v>
      </c>
      <c r="O17" s="9">
        <v>5000</v>
      </c>
      <c r="P17" s="9">
        <v>5000</v>
      </c>
      <c r="Q17" s="9">
        <v>5000</v>
      </c>
      <c r="R17" s="9">
        <v>5000</v>
      </c>
      <c r="S17" s="9">
        <v>5000</v>
      </c>
      <c r="T17" s="9">
        <v>5000</v>
      </c>
      <c r="U17" s="9">
        <v>5000</v>
      </c>
      <c r="V17" s="9">
        <v>5000</v>
      </c>
      <c r="W17" s="9">
        <v>5000</v>
      </c>
      <c r="X17" s="9">
        <v>5000</v>
      </c>
      <c r="Y17" s="9">
        <v>5000</v>
      </c>
      <c r="Z17" s="9">
        <v>5000</v>
      </c>
      <c r="AA17" s="100">
        <f t="shared" si="1"/>
        <v>60000</v>
      </c>
      <c r="AB17" s="9">
        <v>5000</v>
      </c>
      <c r="AC17" s="9">
        <v>5000</v>
      </c>
      <c r="AD17" s="9">
        <v>5000</v>
      </c>
      <c r="AE17" s="9">
        <v>5000</v>
      </c>
      <c r="AF17" s="9">
        <v>5000</v>
      </c>
      <c r="AG17" s="9">
        <v>5000</v>
      </c>
      <c r="AH17" s="9">
        <v>5000</v>
      </c>
      <c r="AI17" s="9">
        <v>5000</v>
      </c>
      <c r="AJ17" s="9">
        <v>5000</v>
      </c>
      <c r="AK17" s="9">
        <v>5000</v>
      </c>
      <c r="AL17" s="9">
        <v>5000</v>
      </c>
      <c r="AM17" s="9">
        <v>5000</v>
      </c>
      <c r="AN17" s="12">
        <f t="shared" si="2"/>
        <v>60000</v>
      </c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12">
        <f t="shared" si="3"/>
        <v>0</v>
      </c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12">
        <f t="shared" si="4"/>
        <v>0</v>
      </c>
    </row>
    <row r="18" spans="1:66" ht="43.2" x14ac:dyDescent="0.3">
      <c r="A18" s="14" t="s">
        <v>138</v>
      </c>
      <c r="B18" s="28">
        <f>0.1*'Chiffre d''affaires prévisionnel'!C22</f>
        <v>17500</v>
      </c>
      <c r="C18" s="28">
        <f>0.1*'Chiffre d''affaires prévisionnel'!D22</f>
        <v>35000</v>
      </c>
      <c r="D18" s="28">
        <f>0.1*'Chiffre d''affaires prévisionnel'!E22</f>
        <v>52500</v>
      </c>
      <c r="E18" s="28">
        <f>0.1*'Chiffre d''affaires prévisionnel'!F22</f>
        <v>70000</v>
      </c>
      <c r="F18" s="28">
        <f>0.1*'Chiffre d''affaires prévisionnel'!G22</f>
        <v>87500</v>
      </c>
      <c r="G18" s="28">
        <f>0.1*'Chiffre d''affaires prévisionnel'!H22</f>
        <v>105000</v>
      </c>
      <c r="H18" s="28">
        <f>0.1*'Chiffre d''affaires prévisionnel'!I22</f>
        <v>140000</v>
      </c>
      <c r="I18" s="28">
        <f>0.1*'Chiffre d''affaires prévisionnel'!J22</f>
        <v>157500</v>
      </c>
      <c r="J18" s="28">
        <f>0.1*'Chiffre d''affaires prévisionnel'!K22</f>
        <v>157500</v>
      </c>
      <c r="K18" s="28">
        <f>0.1*'Chiffre d''affaires prévisionnel'!L22</f>
        <v>157500</v>
      </c>
      <c r="L18" s="28">
        <f>0.1*'Chiffre d''affaires prévisionnel'!M22</f>
        <v>157500</v>
      </c>
      <c r="M18" s="28">
        <f>0.1*'Chiffre d''affaires prévisionnel'!N22</f>
        <v>157500</v>
      </c>
      <c r="N18" s="100">
        <f t="shared" si="0"/>
        <v>1295000</v>
      </c>
      <c r="O18" s="28">
        <f>0.1*'Chiffre d''affaires prévisionnel'!P22</f>
        <v>175000</v>
      </c>
      <c r="P18" s="28">
        <f>0.1*'Chiffre d''affaires prévisionnel'!Q22</f>
        <v>192500</v>
      </c>
      <c r="Q18" s="28">
        <f>0.1*'Chiffre d''affaires prévisionnel'!R22</f>
        <v>210000</v>
      </c>
      <c r="R18" s="28">
        <f>0.1*'Chiffre d''affaires prévisionnel'!S22</f>
        <v>227500</v>
      </c>
      <c r="S18" s="28">
        <f>0.1*'Chiffre d''affaires prévisionnel'!T22</f>
        <v>245000</v>
      </c>
      <c r="T18" s="28">
        <f>0.1*'Chiffre d''affaires prévisionnel'!U22</f>
        <v>262500</v>
      </c>
      <c r="U18" s="28">
        <f>0.1*'Chiffre d''affaires prévisionnel'!V22</f>
        <v>280000</v>
      </c>
      <c r="V18" s="28">
        <f>0.1*'Chiffre d''affaires prévisionnel'!W22</f>
        <v>297500</v>
      </c>
      <c r="W18" s="28">
        <f>0.1*'Chiffre d''affaires prévisionnel'!X22</f>
        <v>315000</v>
      </c>
      <c r="X18" s="28">
        <f>0.1*'Chiffre d''affaires prévisionnel'!Y22</f>
        <v>332500</v>
      </c>
      <c r="Y18" s="28">
        <f>0.1*'Chiffre d''affaires prévisionnel'!Z22</f>
        <v>350000</v>
      </c>
      <c r="Z18" s="28">
        <f>0.1*'Chiffre d''affaires prévisionnel'!AA22</f>
        <v>385000</v>
      </c>
      <c r="AA18" s="100">
        <f t="shared" si="1"/>
        <v>3272500</v>
      </c>
      <c r="AB18" s="28">
        <f>0.1*'Chiffre d''affaires prévisionnel'!AC22</f>
        <v>520000</v>
      </c>
      <c r="AC18" s="28">
        <f>0.1*'Chiffre d''affaires prévisionnel'!AD22</f>
        <v>525200</v>
      </c>
      <c r="AD18" s="28">
        <f>0.1*'Chiffre d''affaires prévisionnel'!AE22</f>
        <v>530452</v>
      </c>
      <c r="AE18" s="28">
        <f>0.1*'Chiffre d''affaires prévisionnel'!AF22</f>
        <v>535756.52</v>
      </c>
      <c r="AF18" s="28">
        <f>0.1*'Chiffre d''affaires prévisionnel'!AG22</f>
        <v>541114.08519999997</v>
      </c>
      <c r="AG18" s="28">
        <f>0.1*'Chiffre d''affaires prévisionnel'!AH22</f>
        <v>546525.22605200007</v>
      </c>
      <c r="AH18" s="28">
        <f>0.1*'Chiffre d''affaires prévisionnel'!AI22</f>
        <v>551990.47831252008</v>
      </c>
      <c r="AI18" s="28">
        <f>0.1*'Chiffre d''affaires prévisionnel'!AJ22</f>
        <v>557510.38309564523</v>
      </c>
      <c r="AJ18" s="28">
        <f>0.1*'Chiffre d''affaires prévisionnel'!AK22</f>
        <v>563085.48692660162</v>
      </c>
      <c r="AK18" s="28">
        <f>0.1*'Chiffre d''affaires prévisionnel'!AL22</f>
        <v>568716.34179586766</v>
      </c>
      <c r="AL18" s="28">
        <f>0.1*'Chiffre d''affaires prévisionnel'!AM22</f>
        <v>574403.50521382643</v>
      </c>
      <c r="AM18" s="28">
        <f>0.1*'Chiffre d''affaires prévisionnel'!AN22</f>
        <v>580147.54026596469</v>
      </c>
      <c r="AN18" s="100">
        <f t="shared" si="2"/>
        <v>6594901.5668624248</v>
      </c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12">
        <f t="shared" si="3"/>
        <v>0</v>
      </c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/>
      <c r="BN18" s="12">
        <f t="shared" si="4"/>
        <v>0</v>
      </c>
    </row>
    <row r="19" spans="1:66" ht="28.8" x14ac:dyDescent="0.3">
      <c r="A19" s="14" t="s">
        <v>139</v>
      </c>
      <c r="B19" s="28"/>
      <c r="C19" s="28"/>
      <c r="D19" s="28"/>
      <c r="E19" s="28"/>
      <c r="F19" s="28"/>
      <c r="G19" s="28">
        <v>100000</v>
      </c>
      <c r="H19" s="28">
        <v>100000</v>
      </c>
      <c r="I19" s="28">
        <v>100000</v>
      </c>
      <c r="J19" s="28">
        <v>100000</v>
      </c>
      <c r="K19" s="28">
        <v>100000</v>
      </c>
      <c r="L19" s="28">
        <v>100000</v>
      </c>
      <c r="M19" s="28">
        <v>100000</v>
      </c>
      <c r="N19" s="100">
        <f t="shared" si="0"/>
        <v>700000</v>
      </c>
      <c r="O19" s="28">
        <v>100000</v>
      </c>
      <c r="P19" s="28">
        <v>100000</v>
      </c>
      <c r="Q19" s="28">
        <v>100000</v>
      </c>
      <c r="R19" s="28">
        <v>100000</v>
      </c>
      <c r="S19" s="28">
        <v>100000</v>
      </c>
      <c r="T19" s="28">
        <v>100000</v>
      </c>
      <c r="U19" s="28">
        <v>100000</v>
      </c>
      <c r="V19" s="28">
        <v>100000</v>
      </c>
      <c r="W19" s="28">
        <v>100000</v>
      </c>
      <c r="X19" s="28">
        <v>100000</v>
      </c>
      <c r="Y19" s="28">
        <v>100000</v>
      </c>
      <c r="Z19" s="28">
        <v>100000</v>
      </c>
      <c r="AA19" s="100">
        <f t="shared" si="1"/>
        <v>1200000</v>
      </c>
      <c r="AB19" s="28">
        <v>100000</v>
      </c>
      <c r="AC19" s="28">
        <v>100000</v>
      </c>
      <c r="AD19" s="28">
        <v>100000</v>
      </c>
      <c r="AE19" s="28">
        <v>100000</v>
      </c>
      <c r="AF19" s="28">
        <v>100000</v>
      </c>
      <c r="AG19" s="28">
        <v>100000</v>
      </c>
      <c r="AH19" s="28">
        <v>100000</v>
      </c>
      <c r="AI19" s="28">
        <v>100000</v>
      </c>
      <c r="AJ19" s="28">
        <v>100000</v>
      </c>
      <c r="AK19" s="28">
        <v>100000</v>
      </c>
      <c r="AL19" s="28">
        <v>100000</v>
      </c>
      <c r="AM19" s="28">
        <v>100000</v>
      </c>
      <c r="AN19" s="100">
        <f t="shared" si="2"/>
        <v>1200000</v>
      </c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12">
        <f t="shared" si="3"/>
        <v>0</v>
      </c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12">
        <f t="shared" si="4"/>
        <v>0</v>
      </c>
    </row>
    <row r="20" spans="1:66" ht="57.6" x14ac:dyDescent="0.3">
      <c r="A20" s="14" t="s">
        <v>140</v>
      </c>
      <c r="B20" s="28">
        <f>'Chiffre d''affaires prévisionnel'!C22*0.15</f>
        <v>26250</v>
      </c>
      <c r="C20" s="28">
        <f>'Chiffre d''affaires prévisionnel'!D22*0.15</f>
        <v>52500</v>
      </c>
      <c r="D20" s="28">
        <f>'Chiffre d''affaires prévisionnel'!E22*0.15</f>
        <v>78750</v>
      </c>
      <c r="E20" s="28">
        <f>'Chiffre d''affaires prévisionnel'!F22*0.15</f>
        <v>105000</v>
      </c>
      <c r="F20" s="28">
        <f>'Chiffre d''affaires prévisionnel'!G22*0.15</f>
        <v>131250</v>
      </c>
      <c r="G20" s="28">
        <f>'Chiffre d''affaires prévisionnel'!H22*0.15</f>
        <v>157500</v>
      </c>
      <c r="H20" s="28">
        <f>'Chiffre d''affaires prévisionnel'!I22*0.15</f>
        <v>210000</v>
      </c>
      <c r="I20" s="28">
        <f>'Chiffre d''affaires prévisionnel'!J22*0.15</f>
        <v>236250</v>
      </c>
      <c r="J20" s="28">
        <f>'Chiffre d''affaires prévisionnel'!K22*0.15</f>
        <v>236250</v>
      </c>
      <c r="K20" s="28">
        <f>'Chiffre d''affaires prévisionnel'!L22*0.15</f>
        <v>236250</v>
      </c>
      <c r="L20" s="28">
        <f>'Chiffre d''affaires prévisionnel'!M22*0.15</f>
        <v>236250</v>
      </c>
      <c r="M20" s="28">
        <f>'Chiffre d''affaires prévisionnel'!N22*0.15</f>
        <v>236250</v>
      </c>
      <c r="N20" s="100">
        <f t="shared" si="0"/>
        <v>1942500</v>
      </c>
      <c r="O20" s="28">
        <f>'Chiffre d''affaires prévisionnel'!P22*0.15</f>
        <v>262500</v>
      </c>
      <c r="P20" s="28">
        <f>'Chiffre d''affaires prévisionnel'!Q22*0.15</f>
        <v>288750</v>
      </c>
      <c r="Q20" s="28">
        <f>'Chiffre d''affaires prévisionnel'!R22*0.15</f>
        <v>315000</v>
      </c>
      <c r="R20" s="28">
        <f>'Chiffre d''affaires prévisionnel'!S22*0.15</f>
        <v>341250</v>
      </c>
      <c r="S20" s="28">
        <f>'Chiffre d''affaires prévisionnel'!T22*0.15</f>
        <v>367500</v>
      </c>
      <c r="T20" s="28">
        <f>'Chiffre d''affaires prévisionnel'!U22*0.15</f>
        <v>393750</v>
      </c>
      <c r="U20" s="28">
        <f>'Chiffre d''affaires prévisionnel'!V22*0.15</f>
        <v>420000</v>
      </c>
      <c r="V20" s="28">
        <f>'Chiffre d''affaires prévisionnel'!W22*0.15</f>
        <v>446250</v>
      </c>
      <c r="W20" s="28">
        <f>'Chiffre d''affaires prévisionnel'!X22*0.15</f>
        <v>472500</v>
      </c>
      <c r="X20" s="28">
        <f>'Chiffre d''affaires prévisionnel'!Y22*0.15</f>
        <v>498750</v>
      </c>
      <c r="Y20" s="28">
        <f>'Chiffre d''affaires prévisionnel'!Z22*0.15</f>
        <v>525000</v>
      </c>
      <c r="Z20" s="28">
        <f>'Chiffre d''affaires prévisionnel'!AA22*0.15</f>
        <v>577500</v>
      </c>
      <c r="AA20" s="100">
        <f t="shared" si="1"/>
        <v>4908750</v>
      </c>
      <c r="AB20" s="28">
        <f>'Chiffre d''affaires prévisionnel'!AC22*0.15</f>
        <v>780000</v>
      </c>
      <c r="AC20" s="28">
        <f>'Chiffre d''affaires prévisionnel'!AD22*0.15</f>
        <v>787800</v>
      </c>
      <c r="AD20" s="28">
        <f>'Chiffre d''affaires prévisionnel'!AE22*0.15</f>
        <v>795678</v>
      </c>
      <c r="AE20" s="28">
        <f>'Chiffre d''affaires prévisionnel'!AF22*0.15</f>
        <v>803634.78</v>
      </c>
      <c r="AF20" s="28">
        <f>'Chiffre d''affaires prévisionnel'!AG22*0.15</f>
        <v>811671.12780000002</v>
      </c>
      <c r="AG20" s="28">
        <f>'Chiffre d''affaires prévisionnel'!AH22*0.15</f>
        <v>819787.83907799993</v>
      </c>
      <c r="AH20" s="28">
        <f>'Chiffre d''affaires prévisionnel'!AI22*0.15</f>
        <v>827985.71746878</v>
      </c>
      <c r="AI20" s="28">
        <f>'Chiffre d''affaires prévisionnel'!AJ22*0.15</f>
        <v>836265.5746434679</v>
      </c>
      <c r="AJ20" s="28">
        <f>'Chiffre d''affaires prévisionnel'!AK22*0.15</f>
        <v>844628.23038990248</v>
      </c>
      <c r="AK20" s="28">
        <f>'Chiffre d''affaires prévisionnel'!AL22*0.15</f>
        <v>853074.51269380155</v>
      </c>
      <c r="AL20" s="28">
        <f>'Chiffre d''affaires prévisionnel'!AM22*0.15</f>
        <v>861605.25782073964</v>
      </c>
      <c r="AM20" s="28">
        <f>'Chiffre d''affaires prévisionnel'!AN22*0.15</f>
        <v>870221.3103989471</v>
      </c>
      <c r="AN20" s="100">
        <f t="shared" si="2"/>
        <v>9892352.3502936382</v>
      </c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12">
        <f t="shared" si="3"/>
        <v>0</v>
      </c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12">
        <f t="shared" si="4"/>
        <v>0</v>
      </c>
    </row>
    <row r="21" spans="1:66" ht="43.2" x14ac:dyDescent="0.3">
      <c r="A21" s="14" t="s">
        <v>141</v>
      </c>
      <c r="B21" s="28">
        <v>200000</v>
      </c>
      <c r="C21" s="28">
        <v>200000</v>
      </c>
      <c r="D21" s="28">
        <v>200000</v>
      </c>
      <c r="E21" s="28">
        <v>200000</v>
      </c>
      <c r="F21" s="28">
        <v>200000</v>
      </c>
      <c r="G21" s="28">
        <v>200000</v>
      </c>
      <c r="H21" s="28">
        <v>200000</v>
      </c>
      <c r="I21" s="28">
        <v>200000</v>
      </c>
      <c r="J21" s="28">
        <v>200000</v>
      </c>
      <c r="K21" s="28">
        <v>200000</v>
      </c>
      <c r="L21" s="28">
        <v>200000</v>
      </c>
      <c r="M21" s="28">
        <v>200000</v>
      </c>
      <c r="N21" s="100">
        <f t="shared" si="0"/>
        <v>2400000</v>
      </c>
      <c r="O21" s="9">
        <v>400000</v>
      </c>
      <c r="P21" s="9">
        <v>400000</v>
      </c>
      <c r="Q21" s="9">
        <v>400000</v>
      </c>
      <c r="R21" s="9">
        <v>400000</v>
      </c>
      <c r="S21" s="9">
        <v>400000</v>
      </c>
      <c r="T21" s="9">
        <v>400000</v>
      </c>
      <c r="U21" s="9">
        <v>400000</v>
      </c>
      <c r="V21" s="9">
        <v>400000</v>
      </c>
      <c r="W21" s="9">
        <v>400000</v>
      </c>
      <c r="X21" s="9">
        <v>400000</v>
      </c>
      <c r="Y21" s="9">
        <v>400000</v>
      </c>
      <c r="Z21" s="9">
        <v>400000</v>
      </c>
      <c r="AA21" s="100">
        <f t="shared" si="1"/>
        <v>4800000</v>
      </c>
      <c r="AB21" s="9">
        <v>600000</v>
      </c>
      <c r="AC21" s="9">
        <v>600000</v>
      </c>
      <c r="AD21" s="9">
        <v>600000</v>
      </c>
      <c r="AE21" s="9">
        <v>600000</v>
      </c>
      <c r="AF21" s="9">
        <v>600000</v>
      </c>
      <c r="AG21" s="9">
        <v>600000</v>
      </c>
      <c r="AH21" s="9">
        <v>600000</v>
      </c>
      <c r="AI21" s="9">
        <v>600000</v>
      </c>
      <c r="AJ21" s="9">
        <v>600000</v>
      </c>
      <c r="AK21" s="9">
        <v>600000</v>
      </c>
      <c r="AL21" s="9">
        <v>600000</v>
      </c>
      <c r="AM21" s="9">
        <v>600000</v>
      </c>
      <c r="AN21" s="100">
        <f t="shared" si="2"/>
        <v>7200000</v>
      </c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12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12"/>
    </row>
    <row r="22" spans="1:66" ht="85.5" customHeight="1" x14ac:dyDescent="0.3">
      <c r="A22" s="14" t="s">
        <v>142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12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12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12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12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12"/>
    </row>
    <row r="23" spans="1:66" ht="28.8" x14ac:dyDescent="0.3">
      <c r="A23" s="13" t="s">
        <v>121</v>
      </c>
      <c r="B23" s="116">
        <f>SUM(B2:B22)</f>
        <v>457500</v>
      </c>
      <c r="C23" s="116">
        <f t="shared" ref="C23:M23" si="17">SUM(C2:C22)</f>
        <v>510000</v>
      </c>
      <c r="D23" s="116">
        <f t="shared" si="17"/>
        <v>562500</v>
      </c>
      <c r="E23" s="116">
        <f t="shared" si="17"/>
        <v>615000</v>
      </c>
      <c r="F23" s="116">
        <f t="shared" si="17"/>
        <v>667500</v>
      </c>
      <c r="G23" s="116">
        <f t="shared" si="17"/>
        <v>820000</v>
      </c>
      <c r="H23" s="116">
        <f t="shared" si="17"/>
        <v>925000</v>
      </c>
      <c r="I23" s="116">
        <f t="shared" si="17"/>
        <v>977500</v>
      </c>
      <c r="J23" s="116">
        <f t="shared" si="17"/>
        <v>977500</v>
      </c>
      <c r="K23" s="116">
        <f t="shared" si="17"/>
        <v>977500</v>
      </c>
      <c r="L23" s="116">
        <f t="shared" si="17"/>
        <v>977500</v>
      </c>
      <c r="M23" s="116">
        <f t="shared" si="17"/>
        <v>977500</v>
      </c>
      <c r="N23" s="117">
        <f t="shared" si="0"/>
        <v>9445000</v>
      </c>
      <c r="O23" s="116">
        <f t="shared" ref="O23" si="18">SUM(O2:O22)</f>
        <v>1323750</v>
      </c>
      <c r="P23" s="116">
        <f t="shared" ref="P23" si="19">SUM(P2:P22)</f>
        <v>1393125</v>
      </c>
      <c r="Q23" s="116">
        <f t="shared" ref="Q23" si="20">SUM(Q2:Q22)</f>
        <v>1455000</v>
      </c>
      <c r="R23" s="116">
        <f t="shared" ref="R23" si="21">SUM(R2:R22)</f>
        <v>1516875</v>
      </c>
      <c r="S23" s="116">
        <f t="shared" ref="S23" si="22">SUM(S2:S22)</f>
        <v>1578750</v>
      </c>
      <c r="T23" s="116">
        <f t="shared" ref="T23" si="23">SUM(T2:T22)</f>
        <v>1640625</v>
      </c>
      <c r="U23" s="116">
        <f t="shared" ref="U23" si="24">SUM(U2:U22)</f>
        <v>1702500</v>
      </c>
      <c r="V23" s="116">
        <f t="shared" ref="V23" si="25">SUM(V2:V22)</f>
        <v>1764375</v>
      </c>
      <c r="W23" s="116">
        <f t="shared" ref="W23" si="26">SUM(W2:W22)</f>
        <v>1826250</v>
      </c>
      <c r="X23" s="116">
        <f t="shared" ref="X23" si="27">SUM(X2:X22)</f>
        <v>1888125</v>
      </c>
      <c r="Y23" s="116">
        <f t="shared" ref="Y23" si="28">SUM(Y2:Y22)</f>
        <v>1950000</v>
      </c>
      <c r="Z23" s="116">
        <f t="shared" ref="Z23" si="29">SUM(Z2:Z22)</f>
        <v>2081250</v>
      </c>
      <c r="AA23" s="117">
        <f t="shared" ref="AA23" si="30">SUM(O23:Z23)</f>
        <v>20120625</v>
      </c>
      <c r="AB23" s="116">
        <f t="shared" ref="AB23" si="31">SUM(AB2:AB22)</f>
        <v>2790000</v>
      </c>
      <c r="AC23" s="116">
        <f t="shared" ref="AC23" si="32">SUM(AC2:AC22)</f>
        <v>2811450</v>
      </c>
      <c r="AD23" s="116">
        <f t="shared" ref="AD23" si="33">SUM(AD2:AD22)</f>
        <v>2830514.5</v>
      </c>
      <c r="AE23" s="116">
        <f t="shared" ref="AE23" si="34">SUM(AE2:AE22)</f>
        <v>2849769.645</v>
      </c>
      <c r="AF23" s="116">
        <f t="shared" ref="AF23" si="35">SUM(AF2:AF22)</f>
        <v>2869217.3414499997</v>
      </c>
      <c r="AG23" s="116">
        <f t="shared" ref="AG23" si="36">SUM(AG2:AG22)</f>
        <v>2888859.5148644997</v>
      </c>
      <c r="AH23" s="116">
        <f t="shared" ref="AH23" si="37">SUM(AH2:AH22)</f>
        <v>2908698.110013145</v>
      </c>
      <c r="AI23" s="116">
        <f t="shared" ref="AI23" si="38">SUM(AI2:AI22)</f>
        <v>2928735.0911132768</v>
      </c>
      <c r="AJ23" s="116">
        <f t="shared" ref="AJ23" si="39">SUM(AJ2:AJ22)</f>
        <v>2948972.4420244088</v>
      </c>
      <c r="AK23" s="116">
        <f t="shared" ref="AK23" si="40">SUM(AK2:AK22)</f>
        <v>2969412.1664446532</v>
      </c>
      <c r="AL23" s="116">
        <f t="shared" ref="AL23" si="41">SUM(AL2:AL22)</f>
        <v>2990056.2881091004</v>
      </c>
      <c r="AM23" s="116">
        <f t="shared" ref="AM23" si="42">SUM(AM2:AM22)</f>
        <v>3010906.8509901911</v>
      </c>
      <c r="AN23" s="117">
        <f t="shared" ref="AN23" si="43">SUM(AB23:AM23)</f>
        <v>34796591.950009272</v>
      </c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>
        <f t="shared" si="3"/>
        <v>0</v>
      </c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>
        <f t="shared" si="4"/>
        <v>0</v>
      </c>
    </row>
    <row r="26" spans="1:66" ht="57.6" x14ac:dyDescent="0.3">
      <c r="A26" s="13" t="s">
        <v>398</v>
      </c>
      <c r="B26" s="24">
        <f>0.3</f>
        <v>0.3</v>
      </c>
    </row>
    <row r="28" spans="1:66" ht="57.6" x14ac:dyDescent="0.3">
      <c r="A28" s="13" t="s">
        <v>400</v>
      </c>
      <c r="B28" s="24">
        <f>0.3</f>
        <v>0.3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80869-0B1A-4889-8CA1-1ED396C46B60}">
  <sheetPr>
    <tabColor rgb="FFFFFF00"/>
  </sheetPr>
  <dimension ref="A1:BQ157"/>
  <sheetViews>
    <sheetView workbookViewId="0">
      <selection activeCell="D4" sqref="D4"/>
    </sheetView>
  </sheetViews>
  <sheetFormatPr baseColWidth="10" defaultRowHeight="14.4" x14ac:dyDescent="0.3"/>
  <sheetData>
    <row r="1" spans="1:69" ht="43.2" x14ac:dyDescent="0.3">
      <c r="A1" s="14" t="s">
        <v>458</v>
      </c>
      <c r="B1" s="14" t="s">
        <v>459</v>
      </c>
      <c r="C1" s="14" t="s">
        <v>460</v>
      </c>
      <c r="D1" s="14" t="s">
        <v>461</v>
      </c>
      <c r="E1" s="132">
        <v>45292</v>
      </c>
      <c r="F1" s="132">
        <v>45323</v>
      </c>
      <c r="G1" s="132">
        <v>45352</v>
      </c>
      <c r="H1" s="132">
        <v>45383</v>
      </c>
      <c r="I1" s="132">
        <v>45413</v>
      </c>
      <c r="J1" s="132">
        <v>45444</v>
      </c>
      <c r="K1" s="132">
        <v>45474</v>
      </c>
      <c r="L1" s="132">
        <v>45505</v>
      </c>
      <c r="M1" s="132">
        <v>45536</v>
      </c>
      <c r="N1" s="132">
        <v>45566</v>
      </c>
      <c r="O1" s="132">
        <v>45597</v>
      </c>
      <c r="P1" s="132">
        <v>45627</v>
      </c>
      <c r="Q1" s="11" t="s">
        <v>462</v>
      </c>
      <c r="R1" s="132">
        <v>45658</v>
      </c>
      <c r="S1" s="132">
        <v>45689</v>
      </c>
      <c r="T1" s="132">
        <v>45717</v>
      </c>
      <c r="U1" s="132">
        <v>45748</v>
      </c>
      <c r="V1" s="132">
        <v>45778</v>
      </c>
      <c r="W1" s="132">
        <v>45809</v>
      </c>
      <c r="X1" s="132">
        <v>45839</v>
      </c>
      <c r="Y1" s="132">
        <v>45870</v>
      </c>
      <c r="Z1" s="132">
        <v>45901</v>
      </c>
      <c r="AA1" s="132">
        <v>45931</v>
      </c>
      <c r="AB1" s="132">
        <v>45962</v>
      </c>
      <c r="AC1" s="132">
        <v>45992</v>
      </c>
      <c r="AD1" s="11" t="s">
        <v>463</v>
      </c>
      <c r="AE1" s="132">
        <v>46023</v>
      </c>
      <c r="AF1" s="132">
        <v>46054</v>
      </c>
      <c r="AG1" s="132">
        <v>46082</v>
      </c>
      <c r="AH1" s="132">
        <v>46113</v>
      </c>
      <c r="AI1" s="132">
        <v>46143</v>
      </c>
      <c r="AJ1" s="132">
        <v>46174</v>
      </c>
      <c r="AK1" s="132">
        <v>46204</v>
      </c>
      <c r="AL1" s="132">
        <v>46235</v>
      </c>
      <c r="AM1" s="132">
        <v>46266</v>
      </c>
      <c r="AN1" s="132">
        <v>46296</v>
      </c>
      <c r="AO1" s="132">
        <v>46327</v>
      </c>
      <c r="AP1" s="132">
        <v>46357</v>
      </c>
      <c r="AQ1" s="11" t="s">
        <v>464</v>
      </c>
      <c r="AR1" s="132">
        <v>46388</v>
      </c>
      <c r="AS1" s="132">
        <v>46419</v>
      </c>
      <c r="AT1" s="132">
        <v>46447</v>
      </c>
      <c r="AU1" s="132">
        <v>46478</v>
      </c>
      <c r="AV1" s="132">
        <v>46508</v>
      </c>
      <c r="AW1" s="132">
        <v>46539</v>
      </c>
      <c r="AX1" s="132">
        <v>46569</v>
      </c>
      <c r="AY1" s="132">
        <v>46600</v>
      </c>
      <c r="AZ1" s="132">
        <v>46631</v>
      </c>
      <c r="BA1" s="132">
        <v>46661</v>
      </c>
      <c r="BB1" s="132">
        <v>46692</v>
      </c>
      <c r="BC1" s="132">
        <v>46722</v>
      </c>
      <c r="BD1" s="11" t="s">
        <v>465</v>
      </c>
      <c r="BE1" s="132">
        <v>46753</v>
      </c>
      <c r="BF1" s="132">
        <v>46784</v>
      </c>
      <c r="BG1" s="132">
        <v>46813</v>
      </c>
      <c r="BH1" s="132">
        <v>46844</v>
      </c>
      <c r="BI1" s="132">
        <v>46874</v>
      </c>
      <c r="BJ1" s="132">
        <v>46905</v>
      </c>
      <c r="BK1" s="132">
        <v>46935</v>
      </c>
      <c r="BL1" s="132">
        <v>46966</v>
      </c>
      <c r="BM1" s="132">
        <v>46997</v>
      </c>
      <c r="BN1" s="132">
        <v>47027</v>
      </c>
      <c r="BO1" s="132">
        <v>47058</v>
      </c>
      <c r="BP1" s="132">
        <v>47088</v>
      </c>
      <c r="BQ1" s="11" t="s">
        <v>466</v>
      </c>
    </row>
    <row r="2" spans="1:69" ht="43.2" x14ac:dyDescent="0.3">
      <c r="A2" s="14"/>
      <c r="B2" s="14" t="s">
        <v>467</v>
      </c>
      <c r="C2" s="26"/>
      <c r="D2" s="26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P2" s="133"/>
      <c r="Q2" s="99">
        <f>SUM(E2:P2)</f>
        <v>0</v>
      </c>
      <c r="R2" s="133"/>
      <c r="S2" s="133"/>
      <c r="T2" s="133"/>
      <c r="U2" s="133"/>
      <c r="V2" s="133"/>
      <c r="W2" s="133"/>
      <c r="X2" s="133"/>
      <c r="Y2" s="133"/>
      <c r="Z2" s="133"/>
      <c r="AA2" s="133"/>
      <c r="AB2" s="133"/>
      <c r="AC2" s="133"/>
      <c r="AD2" s="119"/>
      <c r="AE2" s="133"/>
      <c r="AF2" s="133"/>
      <c r="AG2" s="133"/>
      <c r="AH2" s="133"/>
      <c r="AI2" s="133"/>
      <c r="AJ2" s="133"/>
      <c r="AK2" s="133"/>
      <c r="AL2" s="133"/>
      <c r="AM2" s="133"/>
      <c r="AN2" s="133"/>
      <c r="AO2" s="133"/>
      <c r="AP2" s="133"/>
      <c r="AQ2" s="119"/>
      <c r="AR2" s="133"/>
      <c r="AS2" s="133"/>
      <c r="AT2" s="133"/>
      <c r="AU2" s="133"/>
      <c r="AV2" s="133"/>
      <c r="AW2" s="133"/>
      <c r="AX2" s="133"/>
      <c r="AY2" s="133"/>
      <c r="AZ2" s="133"/>
      <c r="BA2" s="133"/>
      <c r="BB2" s="133"/>
      <c r="BC2" s="133"/>
      <c r="BD2" s="119"/>
      <c r="BE2" s="133"/>
      <c r="BF2" s="133"/>
      <c r="BG2" s="133"/>
      <c r="BH2" s="133"/>
      <c r="BI2" s="133"/>
      <c r="BJ2" s="133"/>
      <c r="BK2" s="133"/>
      <c r="BL2" s="133"/>
      <c r="BM2" s="133"/>
      <c r="BN2" s="133"/>
      <c r="BO2" s="133"/>
      <c r="BP2" s="133"/>
      <c r="BQ2" s="119"/>
    </row>
    <row r="3" spans="1:69" ht="43.2" x14ac:dyDescent="0.3">
      <c r="A3" s="14"/>
      <c r="B3" s="14" t="s">
        <v>468</v>
      </c>
      <c r="C3" s="26"/>
      <c r="D3" s="26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3"/>
      <c r="Q3" s="99">
        <f>SUM(E3:P3)</f>
        <v>0</v>
      </c>
      <c r="R3" s="133"/>
      <c r="S3" s="133"/>
      <c r="T3" s="133"/>
      <c r="U3" s="133"/>
      <c r="V3" s="133"/>
      <c r="W3" s="133"/>
      <c r="X3" s="133"/>
      <c r="Y3" s="133"/>
      <c r="Z3" s="133"/>
      <c r="AA3" s="133"/>
      <c r="AB3" s="133"/>
      <c r="AC3" s="133"/>
      <c r="AD3" s="119"/>
      <c r="AE3" s="133"/>
      <c r="AF3" s="133"/>
      <c r="AG3" s="133"/>
      <c r="AH3" s="133"/>
      <c r="AI3" s="133"/>
      <c r="AJ3" s="133"/>
      <c r="AK3" s="133"/>
      <c r="AL3" s="133"/>
      <c r="AM3" s="133"/>
      <c r="AN3" s="133"/>
      <c r="AO3" s="133"/>
      <c r="AP3" s="133"/>
      <c r="AQ3" s="119"/>
      <c r="AR3" s="133"/>
      <c r="AS3" s="133"/>
      <c r="AT3" s="133"/>
      <c r="AU3" s="133"/>
      <c r="AV3" s="133"/>
      <c r="AW3" s="133"/>
      <c r="AX3" s="133"/>
      <c r="AY3" s="133"/>
      <c r="AZ3" s="133"/>
      <c r="BA3" s="133"/>
      <c r="BB3" s="133"/>
      <c r="BC3" s="133"/>
      <c r="BD3" s="119"/>
      <c r="BE3" s="133"/>
      <c r="BF3" s="133"/>
      <c r="BG3" s="133"/>
      <c r="BH3" s="133"/>
      <c r="BI3" s="133"/>
      <c r="BJ3" s="133"/>
      <c r="BK3" s="133"/>
      <c r="BL3" s="133"/>
      <c r="BM3" s="133"/>
      <c r="BN3" s="133"/>
      <c r="BO3" s="133"/>
      <c r="BP3" s="133"/>
      <c r="BQ3" s="119"/>
    </row>
    <row r="4" spans="1:69" ht="144" x14ac:dyDescent="0.3">
      <c r="A4" s="14"/>
      <c r="B4" s="14" t="s">
        <v>469</v>
      </c>
      <c r="C4" s="26"/>
      <c r="D4" s="26"/>
      <c r="E4" s="133"/>
      <c r="F4" s="133"/>
      <c r="G4" s="133"/>
      <c r="H4" s="133"/>
      <c r="I4" s="133"/>
      <c r="J4" s="133"/>
      <c r="K4" s="133"/>
      <c r="L4" s="133"/>
      <c r="M4" s="133"/>
      <c r="N4" s="133"/>
      <c r="O4" s="133"/>
      <c r="P4" s="133"/>
      <c r="Q4" s="99">
        <f>SUM(E4:P4)</f>
        <v>0</v>
      </c>
      <c r="R4" s="133">
        <f t="shared" ref="R4:BP4" si="0">$C$4</f>
        <v>0</v>
      </c>
      <c r="S4" s="133">
        <f t="shared" si="0"/>
        <v>0</v>
      </c>
      <c r="T4" s="133">
        <f t="shared" si="0"/>
        <v>0</v>
      </c>
      <c r="U4" s="133">
        <f t="shared" si="0"/>
        <v>0</v>
      </c>
      <c r="V4" s="133">
        <f t="shared" si="0"/>
        <v>0</v>
      </c>
      <c r="W4" s="133">
        <f t="shared" si="0"/>
        <v>0</v>
      </c>
      <c r="X4" s="133">
        <f t="shared" si="0"/>
        <v>0</v>
      </c>
      <c r="Y4" s="133">
        <f t="shared" si="0"/>
        <v>0</v>
      </c>
      <c r="Z4" s="133">
        <f t="shared" si="0"/>
        <v>0</v>
      </c>
      <c r="AA4" s="133">
        <f t="shared" si="0"/>
        <v>0</v>
      </c>
      <c r="AB4" s="133">
        <f t="shared" si="0"/>
        <v>0</v>
      </c>
      <c r="AC4" s="133">
        <f t="shared" si="0"/>
        <v>0</v>
      </c>
      <c r="AD4" s="99">
        <f>SUM(R4:AC4)</f>
        <v>0</v>
      </c>
      <c r="AE4" s="133">
        <f>$C$4</f>
        <v>0</v>
      </c>
      <c r="AF4" s="133">
        <f t="shared" si="0"/>
        <v>0</v>
      </c>
      <c r="AG4" s="133">
        <f t="shared" si="0"/>
        <v>0</v>
      </c>
      <c r="AH4" s="133">
        <f t="shared" si="0"/>
        <v>0</v>
      </c>
      <c r="AI4" s="133">
        <f t="shared" si="0"/>
        <v>0</v>
      </c>
      <c r="AJ4" s="133">
        <f t="shared" si="0"/>
        <v>0</v>
      </c>
      <c r="AK4" s="133">
        <f t="shared" si="0"/>
        <v>0</v>
      </c>
      <c r="AL4" s="133">
        <f t="shared" si="0"/>
        <v>0</v>
      </c>
      <c r="AM4" s="133">
        <f t="shared" si="0"/>
        <v>0</v>
      </c>
      <c r="AN4" s="133">
        <f t="shared" si="0"/>
        <v>0</v>
      </c>
      <c r="AO4" s="133">
        <f t="shared" si="0"/>
        <v>0</v>
      </c>
      <c r="AP4" s="133">
        <f t="shared" si="0"/>
        <v>0</v>
      </c>
      <c r="AQ4" s="99">
        <f>SUM(AE4:AP4)</f>
        <v>0</v>
      </c>
      <c r="AR4" s="133">
        <f>$C$4</f>
        <v>0</v>
      </c>
      <c r="AS4" s="133">
        <f t="shared" si="0"/>
        <v>0</v>
      </c>
      <c r="AT4" s="133">
        <f t="shared" si="0"/>
        <v>0</v>
      </c>
      <c r="AU4" s="133">
        <f t="shared" si="0"/>
        <v>0</v>
      </c>
      <c r="AV4" s="133">
        <f t="shared" si="0"/>
        <v>0</v>
      </c>
      <c r="AW4" s="133">
        <f t="shared" si="0"/>
        <v>0</v>
      </c>
      <c r="AX4" s="133">
        <f t="shared" si="0"/>
        <v>0</v>
      </c>
      <c r="AY4" s="133">
        <f t="shared" si="0"/>
        <v>0</v>
      </c>
      <c r="AZ4" s="133">
        <f t="shared" si="0"/>
        <v>0</v>
      </c>
      <c r="BA4" s="133">
        <f t="shared" si="0"/>
        <v>0</v>
      </c>
      <c r="BB4" s="133">
        <f t="shared" si="0"/>
        <v>0</v>
      </c>
      <c r="BC4" s="133">
        <f t="shared" si="0"/>
        <v>0</v>
      </c>
      <c r="BD4" s="99">
        <f>SUM(AR4:BC4)</f>
        <v>0</v>
      </c>
      <c r="BE4" s="133">
        <f>$C$4</f>
        <v>0</v>
      </c>
      <c r="BF4" s="133">
        <f t="shared" si="0"/>
        <v>0</v>
      </c>
      <c r="BG4" s="133">
        <f t="shared" si="0"/>
        <v>0</v>
      </c>
      <c r="BH4" s="133">
        <f t="shared" si="0"/>
        <v>0</v>
      </c>
      <c r="BI4" s="133">
        <f t="shared" si="0"/>
        <v>0</v>
      </c>
      <c r="BJ4" s="133">
        <f t="shared" si="0"/>
        <v>0</v>
      </c>
      <c r="BK4" s="133">
        <f t="shared" si="0"/>
        <v>0</v>
      </c>
      <c r="BL4" s="133">
        <f t="shared" si="0"/>
        <v>0</v>
      </c>
      <c r="BM4" s="133">
        <f t="shared" si="0"/>
        <v>0</v>
      </c>
      <c r="BN4" s="133">
        <f t="shared" si="0"/>
        <v>0</v>
      </c>
      <c r="BO4" s="133">
        <f t="shared" si="0"/>
        <v>0</v>
      </c>
      <c r="BP4" s="133">
        <f t="shared" si="0"/>
        <v>0</v>
      </c>
      <c r="BQ4" s="99">
        <f>SUM(BE4:BP4)</f>
        <v>0</v>
      </c>
    </row>
    <row r="5" spans="1:69" ht="57.6" x14ac:dyDescent="0.3">
      <c r="A5" s="14"/>
      <c r="B5" s="14" t="s">
        <v>470</v>
      </c>
      <c r="C5" s="26"/>
      <c r="D5" s="26"/>
      <c r="E5" s="133"/>
      <c r="F5" s="133"/>
      <c r="G5" s="133"/>
      <c r="H5" s="133"/>
      <c r="I5" s="133"/>
      <c r="J5" s="133"/>
      <c r="K5" s="133"/>
      <c r="L5" s="133"/>
      <c r="M5" s="133"/>
      <c r="N5" s="133"/>
      <c r="O5" s="133"/>
      <c r="P5" s="133"/>
      <c r="Q5" s="99"/>
      <c r="R5" s="133"/>
      <c r="S5" s="133"/>
      <c r="T5" s="133"/>
      <c r="U5" s="133"/>
      <c r="V5" s="133"/>
      <c r="W5" s="133"/>
      <c r="X5" s="133"/>
      <c r="Y5" s="133"/>
      <c r="Z5" s="133"/>
      <c r="AA5" s="133"/>
      <c r="AB5" s="133"/>
      <c r="AC5" s="133"/>
      <c r="AD5" s="99"/>
      <c r="AE5" s="133"/>
      <c r="AF5" s="133"/>
      <c r="AG5" s="133"/>
      <c r="AH5" s="133"/>
      <c r="AI5" s="133"/>
      <c r="AJ5" s="133"/>
      <c r="AK5" s="133"/>
      <c r="AL5" s="133"/>
      <c r="AM5" s="133"/>
      <c r="AN5" s="133"/>
      <c r="AO5" s="133"/>
      <c r="AP5" s="133"/>
      <c r="AQ5" s="99"/>
      <c r="AR5" s="133"/>
      <c r="AS5" s="133"/>
      <c r="AT5" s="133"/>
      <c r="AU5" s="133"/>
      <c r="AV5" s="133"/>
      <c r="AW5" s="133"/>
      <c r="AX5" s="133"/>
      <c r="AY5" s="133"/>
      <c r="AZ5" s="133"/>
      <c r="BA5" s="133"/>
      <c r="BB5" s="133"/>
      <c r="BC5" s="133"/>
      <c r="BD5" s="99"/>
      <c r="BE5" s="133"/>
      <c r="BF5" s="133"/>
      <c r="BG5" s="133"/>
      <c r="BH5" s="133"/>
      <c r="BI5" s="133"/>
      <c r="BJ5" s="133"/>
      <c r="BK5" s="133"/>
      <c r="BL5" s="133"/>
      <c r="BM5" s="133"/>
      <c r="BN5" s="133"/>
      <c r="BO5" s="133"/>
      <c r="BP5" s="133"/>
      <c r="BQ5" s="99"/>
    </row>
    <row r="6" spans="1:69" ht="72" x14ac:dyDescent="0.3">
      <c r="A6" s="14"/>
      <c r="B6" s="14" t="s">
        <v>471</v>
      </c>
      <c r="C6" s="26"/>
      <c r="D6" s="26"/>
      <c r="E6" s="133"/>
      <c r="F6" s="133"/>
      <c r="G6" s="133"/>
      <c r="H6" s="133"/>
      <c r="I6" s="133"/>
      <c r="J6" s="133"/>
      <c r="K6" s="133"/>
      <c r="L6" s="133"/>
      <c r="M6" s="133"/>
      <c r="N6" s="133"/>
      <c r="O6" s="133"/>
      <c r="P6" s="133"/>
      <c r="Q6" s="99"/>
      <c r="R6" s="133"/>
      <c r="S6" s="133"/>
      <c r="T6" s="133"/>
      <c r="U6" s="133"/>
      <c r="V6" s="133"/>
      <c r="W6" s="133"/>
      <c r="X6" s="133"/>
      <c r="Y6" s="133"/>
      <c r="Z6" s="133"/>
      <c r="AA6" s="133"/>
      <c r="AB6" s="133"/>
      <c r="AC6" s="133"/>
      <c r="AD6" s="99"/>
      <c r="AE6" s="133"/>
      <c r="AF6" s="133"/>
      <c r="AG6" s="133"/>
      <c r="AH6" s="133"/>
      <c r="AI6" s="133"/>
      <c r="AJ6" s="133"/>
      <c r="AK6" s="133"/>
      <c r="AL6" s="133"/>
      <c r="AM6" s="133"/>
      <c r="AN6" s="133"/>
      <c r="AO6" s="133"/>
      <c r="AP6" s="133"/>
      <c r="AQ6" s="99"/>
      <c r="AR6" s="133"/>
      <c r="AS6" s="133"/>
      <c r="AT6" s="133"/>
      <c r="AU6" s="133"/>
      <c r="AV6" s="133"/>
      <c r="AW6" s="133"/>
      <c r="AX6" s="133"/>
      <c r="AY6" s="133"/>
      <c r="AZ6" s="133"/>
      <c r="BA6" s="133"/>
      <c r="BB6" s="133"/>
      <c r="BC6" s="133"/>
      <c r="BD6" s="99"/>
      <c r="BE6" s="133"/>
      <c r="BF6" s="133"/>
      <c r="BG6" s="133"/>
      <c r="BH6" s="133"/>
      <c r="BI6" s="133"/>
      <c r="BJ6" s="133"/>
      <c r="BK6" s="133"/>
      <c r="BL6" s="133"/>
      <c r="BM6" s="133"/>
      <c r="BN6" s="133"/>
      <c r="BO6" s="133"/>
      <c r="BP6" s="133"/>
      <c r="BQ6" s="99"/>
    </row>
    <row r="7" spans="1:69" ht="72" x14ac:dyDescent="0.3">
      <c r="A7" s="14"/>
      <c r="B7" s="14" t="s">
        <v>472</v>
      </c>
      <c r="C7" s="26"/>
      <c r="D7" s="26"/>
      <c r="E7" s="133"/>
      <c r="F7" s="133"/>
      <c r="G7" s="133"/>
      <c r="H7" s="133"/>
      <c r="I7" s="133"/>
      <c r="J7" s="133"/>
      <c r="K7" s="133"/>
      <c r="L7" s="133"/>
      <c r="M7" s="133"/>
      <c r="N7" s="133"/>
      <c r="O7" s="133"/>
      <c r="P7" s="133"/>
      <c r="Q7" s="99"/>
      <c r="R7" s="133"/>
      <c r="S7" s="133"/>
      <c r="T7" s="133"/>
      <c r="U7" s="133"/>
      <c r="V7" s="133"/>
      <c r="W7" s="133"/>
      <c r="X7" s="133"/>
      <c r="Y7" s="133"/>
      <c r="Z7" s="133"/>
      <c r="AA7" s="133"/>
      <c r="AB7" s="133"/>
      <c r="AC7" s="133"/>
      <c r="AD7" s="99"/>
      <c r="AE7" s="133"/>
      <c r="AF7" s="133"/>
      <c r="AG7" s="133"/>
      <c r="AH7" s="133"/>
      <c r="AI7" s="133"/>
      <c r="AJ7" s="133"/>
      <c r="AK7" s="133"/>
      <c r="AL7" s="133"/>
      <c r="AM7" s="133"/>
      <c r="AN7" s="133"/>
      <c r="AO7" s="133"/>
      <c r="AP7" s="133"/>
      <c r="AQ7" s="99"/>
      <c r="AR7" s="133"/>
      <c r="AS7" s="133"/>
      <c r="AT7" s="133"/>
      <c r="AU7" s="133"/>
      <c r="AV7" s="133"/>
      <c r="AW7" s="133"/>
      <c r="AX7" s="133"/>
      <c r="AY7" s="133"/>
      <c r="AZ7" s="133"/>
      <c r="BA7" s="133"/>
      <c r="BB7" s="133"/>
      <c r="BC7" s="133"/>
      <c r="BD7" s="99"/>
      <c r="BE7" s="133"/>
      <c r="BF7" s="133"/>
      <c r="BG7" s="133"/>
      <c r="BH7" s="133"/>
      <c r="BI7" s="133"/>
      <c r="BJ7" s="133"/>
      <c r="BK7" s="133"/>
      <c r="BL7" s="133"/>
      <c r="BM7" s="133"/>
      <c r="BN7" s="133"/>
      <c r="BO7" s="133"/>
      <c r="BP7" s="133"/>
      <c r="BQ7" s="99"/>
    </row>
    <row r="8" spans="1:69" ht="43.2" x14ac:dyDescent="0.3">
      <c r="A8" s="14"/>
      <c r="B8" s="14" t="s">
        <v>473</v>
      </c>
      <c r="C8" s="26"/>
      <c r="D8" s="26"/>
      <c r="E8" s="133"/>
      <c r="F8" s="133"/>
      <c r="G8" s="133"/>
      <c r="H8" s="133"/>
      <c r="I8" s="133"/>
      <c r="J8" s="133"/>
      <c r="K8" s="133"/>
      <c r="L8" s="133"/>
      <c r="M8" s="133"/>
      <c r="N8" s="133"/>
      <c r="O8" s="133"/>
      <c r="P8" s="133"/>
      <c r="Q8" s="99">
        <f>SUM(E8:P8)</f>
        <v>0</v>
      </c>
      <c r="R8" s="133"/>
      <c r="S8" s="133"/>
      <c r="T8" s="133"/>
      <c r="U8" s="133"/>
      <c r="V8" s="133"/>
      <c r="W8" s="133"/>
      <c r="X8" s="133"/>
      <c r="Y8" s="133"/>
      <c r="Z8" s="133"/>
      <c r="AA8" s="133"/>
      <c r="AB8" s="133"/>
      <c r="AC8" s="133"/>
      <c r="AD8" s="99">
        <f>SUM(R8:AC8)</f>
        <v>0</v>
      </c>
      <c r="AE8" s="133"/>
      <c r="AF8" s="133"/>
      <c r="AG8" s="133"/>
      <c r="AH8" s="133"/>
      <c r="AI8" s="133"/>
      <c r="AJ8" s="133"/>
      <c r="AK8" s="133"/>
      <c r="AL8" s="133"/>
      <c r="AM8" s="133"/>
      <c r="AN8" s="133"/>
      <c r="AO8" s="133"/>
      <c r="AP8" s="133"/>
      <c r="AQ8" s="99">
        <f>SUM(AE8:AP8)</f>
        <v>0</v>
      </c>
      <c r="AR8" s="133">
        <f>$C$8*$D$8</f>
        <v>0</v>
      </c>
      <c r="AS8" s="133">
        <f t="shared" ref="AS8:BP8" si="1">$C$8*$D$8</f>
        <v>0</v>
      </c>
      <c r="AT8" s="133">
        <f t="shared" si="1"/>
        <v>0</v>
      </c>
      <c r="AU8" s="133">
        <f t="shared" si="1"/>
        <v>0</v>
      </c>
      <c r="AV8" s="133">
        <f t="shared" si="1"/>
        <v>0</v>
      </c>
      <c r="AW8" s="133">
        <f t="shared" si="1"/>
        <v>0</v>
      </c>
      <c r="AX8" s="133">
        <f t="shared" si="1"/>
        <v>0</v>
      </c>
      <c r="AY8" s="133">
        <f t="shared" si="1"/>
        <v>0</v>
      </c>
      <c r="AZ8" s="133">
        <f t="shared" si="1"/>
        <v>0</v>
      </c>
      <c r="BA8" s="133">
        <f t="shared" si="1"/>
        <v>0</v>
      </c>
      <c r="BB8" s="133">
        <f t="shared" si="1"/>
        <v>0</v>
      </c>
      <c r="BC8" s="133">
        <f t="shared" si="1"/>
        <v>0</v>
      </c>
      <c r="BD8" s="99">
        <f>SUM(AR8:BC8)</f>
        <v>0</v>
      </c>
      <c r="BE8" s="133">
        <f>$C$8*$D$8</f>
        <v>0</v>
      </c>
      <c r="BF8" s="133">
        <f t="shared" si="1"/>
        <v>0</v>
      </c>
      <c r="BG8" s="133">
        <f t="shared" si="1"/>
        <v>0</v>
      </c>
      <c r="BH8" s="133">
        <f t="shared" si="1"/>
        <v>0</v>
      </c>
      <c r="BI8" s="133">
        <f t="shared" si="1"/>
        <v>0</v>
      </c>
      <c r="BJ8" s="133">
        <f t="shared" si="1"/>
        <v>0</v>
      </c>
      <c r="BK8" s="133">
        <f t="shared" si="1"/>
        <v>0</v>
      </c>
      <c r="BL8" s="133">
        <f t="shared" si="1"/>
        <v>0</v>
      </c>
      <c r="BM8" s="133">
        <f t="shared" si="1"/>
        <v>0</v>
      </c>
      <c r="BN8" s="133">
        <f t="shared" si="1"/>
        <v>0</v>
      </c>
      <c r="BO8" s="133">
        <f t="shared" si="1"/>
        <v>0</v>
      </c>
      <c r="BP8" s="133">
        <f t="shared" si="1"/>
        <v>0</v>
      </c>
      <c r="BQ8" s="99">
        <f>SUM(BE8:BP8)</f>
        <v>0</v>
      </c>
    </row>
    <row r="9" spans="1:69" x14ac:dyDescent="0.3">
      <c r="A9" s="1"/>
      <c r="B9" s="14" t="s">
        <v>474</v>
      </c>
      <c r="C9" s="26"/>
      <c r="D9" s="2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99">
        <f>SUM(E9:P9)</f>
        <v>0</v>
      </c>
      <c r="R9" s="18">
        <f t="shared" ref="R9:BP9" si="2">$C$9*$D$9</f>
        <v>0</v>
      </c>
      <c r="S9" s="18">
        <f t="shared" si="2"/>
        <v>0</v>
      </c>
      <c r="T9" s="18">
        <f t="shared" si="2"/>
        <v>0</v>
      </c>
      <c r="U9" s="18">
        <f t="shared" si="2"/>
        <v>0</v>
      </c>
      <c r="V9" s="18">
        <f t="shared" si="2"/>
        <v>0</v>
      </c>
      <c r="W9" s="18">
        <f t="shared" si="2"/>
        <v>0</v>
      </c>
      <c r="X9" s="18">
        <f t="shared" si="2"/>
        <v>0</v>
      </c>
      <c r="Y9" s="18">
        <f t="shared" si="2"/>
        <v>0</v>
      </c>
      <c r="Z9" s="18">
        <f t="shared" si="2"/>
        <v>0</v>
      </c>
      <c r="AA9" s="18">
        <f t="shared" si="2"/>
        <v>0</v>
      </c>
      <c r="AB9" s="18">
        <f t="shared" si="2"/>
        <v>0</v>
      </c>
      <c r="AC9" s="18">
        <f t="shared" si="2"/>
        <v>0</v>
      </c>
      <c r="AD9" s="99">
        <f>SUM(R9:AC9)</f>
        <v>0</v>
      </c>
      <c r="AE9" s="18">
        <f>$C$9*$D$9</f>
        <v>0</v>
      </c>
      <c r="AF9" s="18">
        <f t="shared" si="2"/>
        <v>0</v>
      </c>
      <c r="AG9" s="18">
        <f t="shared" si="2"/>
        <v>0</v>
      </c>
      <c r="AH9" s="18">
        <f t="shared" si="2"/>
        <v>0</v>
      </c>
      <c r="AI9" s="18">
        <f t="shared" si="2"/>
        <v>0</v>
      </c>
      <c r="AJ9" s="18">
        <f t="shared" si="2"/>
        <v>0</v>
      </c>
      <c r="AK9" s="18">
        <f t="shared" si="2"/>
        <v>0</v>
      </c>
      <c r="AL9" s="18">
        <f t="shared" si="2"/>
        <v>0</v>
      </c>
      <c r="AM9" s="18">
        <f t="shared" si="2"/>
        <v>0</v>
      </c>
      <c r="AN9" s="18">
        <f t="shared" si="2"/>
        <v>0</v>
      </c>
      <c r="AO9" s="18">
        <f t="shared" si="2"/>
        <v>0</v>
      </c>
      <c r="AP9" s="18">
        <f t="shared" si="2"/>
        <v>0</v>
      </c>
      <c r="AQ9" s="99">
        <f>SUM(AE9:AP9)</f>
        <v>0</v>
      </c>
      <c r="AR9" s="18">
        <f>$C$9*$D$9</f>
        <v>0</v>
      </c>
      <c r="AS9" s="18">
        <f t="shared" si="2"/>
        <v>0</v>
      </c>
      <c r="AT9" s="18">
        <f t="shared" si="2"/>
        <v>0</v>
      </c>
      <c r="AU9" s="18">
        <f t="shared" si="2"/>
        <v>0</v>
      </c>
      <c r="AV9" s="18">
        <f t="shared" si="2"/>
        <v>0</v>
      </c>
      <c r="AW9" s="18">
        <f t="shared" si="2"/>
        <v>0</v>
      </c>
      <c r="AX9" s="18">
        <f t="shared" si="2"/>
        <v>0</v>
      </c>
      <c r="AY9" s="18">
        <f t="shared" si="2"/>
        <v>0</v>
      </c>
      <c r="AZ9" s="18">
        <f t="shared" si="2"/>
        <v>0</v>
      </c>
      <c r="BA9" s="18">
        <f t="shared" si="2"/>
        <v>0</v>
      </c>
      <c r="BB9" s="18">
        <f t="shared" si="2"/>
        <v>0</v>
      </c>
      <c r="BC9" s="18">
        <f t="shared" si="2"/>
        <v>0</v>
      </c>
      <c r="BD9" s="99">
        <f>SUM(AR9:BC9)</f>
        <v>0</v>
      </c>
      <c r="BE9" s="18">
        <f>$C$9*$D$9</f>
        <v>0</v>
      </c>
      <c r="BF9" s="18">
        <f t="shared" si="2"/>
        <v>0</v>
      </c>
      <c r="BG9" s="18">
        <f t="shared" si="2"/>
        <v>0</v>
      </c>
      <c r="BH9" s="18">
        <f t="shared" si="2"/>
        <v>0</v>
      </c>
      <c r="BI9" s="18">
        <f t="shared" si="2"/>
        <v>0</v>
      </c>
      <c r="BJ9" s="18">
        <f t="shared" si="2"/>
        <v>0</v>
      </c>
      <c r="BK9" s="18">
        <f t="shared" si="2"/>
        <v>0</v>
      </c>
      <c r="BL9" s="18">
        <f t="shared" si="2"/>
        <v>0</v>
      </c>
      <c r="BM9" s="18">
        <f t="shared" si="2"/>
        <v>0</v>
      </c>
      <c r="BN9" s="18">
        <f t="shared" si="2"/>
        <v>0</v>
      </c>
      <c r="BO9" s="18">
        <f t="shared" si="2"/>
        <v>0</v>
      </c>
      <c r="BP9" s="18">
        <f t="shared" si="2"/>
        <v>0</v>
      </c>
      <c r="BQ9" s="99">
        <f>SUM(BE9:BP9)</f>
        <v>0</v>
      </c>
    </row>
    <row r="10" spans="1:69" ht="43.2" x14ac:dyDescent="0.3">
      <c r="A10" s="1"/>
      <c r="B10" s="14" t="s">
        <v>475</v>
      </c>
      <c r="C10" s="26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99">
        <f t="shared" ref="Q10:Q73" si="3">SUM(E10:P10)</f>
        <v>0</v>
      </c>
      <c r="R10" s="18">
        <f t="shared" ref="R10:BP10" si="4">$C$10*$D$10</f>
        <v>0</v>
      </c>
      <c r="S10" s="18">
        <f t="shared" si="4"/>
        <v>0</v>
      </c>
      <c r="T10" s="18">
        <f t="shared" si="4"/>
        <v>0</v>
      </c>
      <c r="U10" s="18">
        <f t="shared" si="4"/>
        <v>0</v>
      </c>
      <c r="V10" s="18">
        <f t="shared" si="4"/>
        <v>0</v>
      </c>
      <c r="W10" s="18">
        <f t="shared" si="4"/>
        <v>0</v>
      </c>
      <c r="X10" s="18">
        <f t="shared" si="4"/>
        <v>0</v>
      </c>
      <c r="Y10" s="18">
        <f t="shared" si="4"/>
        <v>0</v>
      </c>
      <c r="Z10" s="18">
        <f t="shared" si="4"/>
        <v>0</v>
      </c>
      <c r="AA10" s="18">
        <f t="shared" si="4"/>
        <v>0</v>
      </c>
      <c r="AB10" s="18">
        <f t="shared" si="4"/>
        <v>0</v>
      </c>
      <c r="AC10" s="18">
        <f t="shared" si="4"/>
        <v>0</v>
      </c>
      <c r="AD10" s="99">
        <f t="shared" ref="AD10:AD73" si="5">SUM(R10:AC10)</f>
        <v>0</v>
      </c>
      <c r="AE10" s="18">
        <f>$C$10*$D$10</f>
        <v>0</v>
      </c>
      <c r="AF10" s="18">
        <f t="shared" si="4"/>
        <v>0</v>
      </c>
      <c r="AG10" s="18">
        <f t="shared" si="4"/>
        <v>0</v>
      </c>
      <c r="AH10" s="18">
        <f t="shared" si="4"/>
        <v>0</v>
      </c>
      <c r="AI10" s="18">
        <f t="shared" si="4"/>
        <v>0</v>
      </c>
      <c r="AJ10" s="18">
        <f t="shared" si="4"/>
        <v>0</v>
      </c>
      <c r="AK10" s="18">
        <f t="shared" si="4"/>
        <v>0</v>
      </c>
      <c r="AL10" s="18">
        <f t="shared" si="4"/>
        <v>0</v>
      </c>
      <c r="AM10" s="18">
        <f t="shared" si="4"/>
        <v>0</v>
      </c>
      <c r="AN10" s="18">
        <f t="shared" si="4"/>
        <v>0</v>
      </c>
      <c r="AO10" s="18">
        <f t="shared" si="4"/>
        <v>0</v>
      </c>
      <c r="AP10" s="18">
        <f t="shared" si="4"/>
        <v>0</v>
      </c>
      <c r="AQ10" s="99">
        <f t="shared" ref="AQ10:AQ73" si="6">SUM(AE10:AP10)</f>
        <v>0</v>
      </c>
      <c r="AR10" s="18">
        <f>$C$10*$D$10</f>
        <v>0</v>
      </c>
      <c r="AS10" s="18">
        <f t="shared" si="4"/>
        <v>0</v>
      </c>
      <c r="AT10" s="18">
        <f t="shared" si="4"/>
        <v>0</v>
      </c>
      <c r="AU10" s="18">
        <f t="shared" si="4"/>
        <v>0</v>
      </c>
      <c r="AV10" s="18">
        <f t="shared" si="4"/>
        <v>0</v>
      </c>
      <c r="AW10" s="18">
        <f t="shared" si="4"/>
        <v>0</v>
      </c>
      <c r="AX10" s="18">
        <f t="shared" si="4"/>
        <v>0</v>
      </c>
      <c r="AY10" s="18">
        <f t="shared" si="4"/>
        <v>0</v>
      </c>
      <c r="AZ10" s="18">
        <f t="shared" si="4"/>
        <v>0</v>
      </c>
      <c r="BA10" s="18">
        <f t="shared" si="4"/>
        <v>0</v>
      </c>
      <c r="BB10" s="18">
        <f t="shared" si="4"/>
        <v>0</v>
      </c>
      <c r="BC10" s="18">
        <f t="shared" si="4"/>
        <v>0</v>
      </c>
      <c r="BD10" s="99">
        <f t="shared" ref="BD10:BD73" si="7">SUM(AR10:BC10)</f>
        <v>0</v>
      </c>
      <c r="BE10" s="18">
        <f>$C$10*$D$10</f>
        <v>0</v>
      </c>
      <c r="BF10" s="18">
        <f t="shared" si="4"/>
        <v>0</v>
      </c>
      <c r="BG10" s="18">
        <f t="shared" si="4"/>
        <v>0</v>
      </c>
      <c r="BH10" s="18">
        <f t="shared" si="4"/>
        <v>0</v>
      </c>
      <c r="BI10" s="18">
        <f t="shared" si="4"/>
        <v>0</v>
      </c>
      <c r="BJ10" s="18">
        <f t="shared" si="4"/>
        <v>0</v>
      </c>
      <c r="BK10" s="18">
        <f t="shared" si="4"/>
        <v>0</v>
      </c>
      <c r="BL10" s="18">
        <f t="shared" si="4"/>
        <v>0</v>
      </c>
      <c r="BM10" s="18">
        <f t="shared" si="4"/>
        <v>0</v>
      </c>
      <c r="BN10" s="18">
        <f t="shared" si="4"/>
        <v>0</v>
      </c>
      <c r="BO10" s="18">
        <f t="shared" si="4"/>
        <v>0</v>
      </c>
      <c r="BP10" s="18">
        <f t="shared" si="4"/>
        <v>0</v>
      </c>
      <c r="BQ10" s="99">
        <f t="shared" ref="BQ10:BQ73" si="8">SUM(BE10:BP10)</f>
        <v>0</v>
      </c>
    </row>
    <row r="11" spans="1:69" ht="72" x14ac:dyDescent="0.3">
      <c r="A11" s="1"/>
      <c r="B11" s="14" t="s">
        <v>476</v>
      </c>
      <c r="C11" s="26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99">
        <f t="shared" si="3"/>
        <v>0</v>
      </c>
      <c r="R11" s="18">
        <f t="shared" ref="R11:BP11" si="9">$C$11*$D$11</f>
        <v>0</v>
      </c>
      <c r="S11" s="18">
        <f t="shared" si="9"/>
        <v>0</v>
      </c>
      <c r="T11" s="18">
        <f t="shared" si="9"/>
        <v>0</v>
      </c>
      <c r="U11" s="18">
        <f t="shared" si="9"/>
        <v>0</v>
      </c>
      <c r="V11" s="18">
        <f t="shared" si="9"/>
        <v>0</v>
      </c>
      <c r="W11" s="18">
        <f t="shared" si="9"/>
        <v>0</v>
      </c>
      <c r="X11" s="18">
        <f t="shared" si="9"/>
        <v>0</v>
      </c>
      <c r="Y11" s="18">
        <f t="shared" si="9"/>
        <v>0</v>
      </c>
      <c r="Z11" s="18">
        <f t="shared" si="9"/>
        <v>0</v>
      </c>
      <c r="AA11" s="18">
        <f t="shared" si="9"/>
        <v>0</v>
      </c>
      <c r="AB11" s="18">
        <f t="shared" si="9"/>
        <v>0</v>
      </c>
      <c r="AC11" s="18">
        <f t="shared" si="9"/>
        <v>0</v>
      </c>
      <c r="AD11" s="99">
        <f t="shared" si="5"/>
        <v>0</v>
      </c>
      <c r="AE11" s="18">
        <f>$C$11*$D$11</f>
        <v>0</v>
      </c>
      <c r="AF11" s="18">
        <f t="shared" si="9"/>
        <v>0</v>
      </c>
      <c r="AG11" s="18">
        <f t="shared" si="9"/>
        <v>0</v>
      </c>
      <c r="AH11" s="18">
        <f t="shared" si="9"/>
        <v>0</v>
      </c>
      <c r="AI11" s="18">
        <f t="shared" si="9"/>
        <v>0</v>
      </c>
      <c r="AJ11" s="18">
        <f t="shared" si="9"/>
        <v>0</v>
      </c>
      <c r="AK11" s="18">
        <f t="shared" si="9"/>
        <v>0</v>
      </c>
      <c r="AL11" s="18">
        <f t="shared" si="9"/>
        <v>0</v>
      </c>
      <c r="AM11" s="18">
        <f t="shared" si="9"/>
        <v>0</v>
      </c>
      <c r="AN11" s="18">
        <f t="shared" si="9"/>
        <v>0</v>
      </c>
      <c r="AO11" s="18">
        <f t="shared" si="9"/>
        <v>0</v>
      </c>
      <c r="AP11" s="18">
        <f t="shared" si="9"/>
        <v>0</v>
      </c>
      <c r="AQ11" s="99">
        <f t="shared" si="6"/>
        <v>0</v>
      </c>
      <c r="AR11" s="18">
        <f>$C$11*$D$11</f>
        <v>0</v>
      </c>
      <c r="AS11" s="18">
        <f t="shared" si="9"/>
        <v>0</v>
      </c>
      <c r="AT11" s="18">
        <f t="shared" si="9"/>
        <v>0</v>
      </c>
      <c r="AU11" s="18">
        <f t="shared" si="9"/>
        <v>0</v>
      </c>
      <c r="AV11" s="18">
        <f t="shared" si="9"/>
        <v>0</v>
      </c>
      <c r="AW11" s="18">
        <f t="shared" si="9"/>
        <v>0</v>
      </c>
      <c r="AX11" s="18">
        <f t="shared" si="9"/>
        <v>0</v>
      </c>
      <c r="AY11" s="18">
        <f t="shared" si="9"/>
        <v>0</v>
      </c>
      <c r="AZ11" s="18">
        <f t="shared" si="9"/>
        <v>0</v>
      </c>
      <c r="BA11" s="18">
        <f t="shared" si="9"/>
        <v>0</v>
      </c>
      <c r="BB11" s="18">
        <f t="shared" si="9"/>
        <v>0</v>
      </c>
      <c r="BC11" s="18">
        <f t="shared" si="9"/>
        <v>0</v>
      </c>
      <c r="BD11" s="99">
        <f t="shared" si="7"/>
        <v>0</v>
      </c>
      <c r="BE11" s="18">
        <f>$C$11*$D$11</f>
        <v>0</v>
      </c>
      <c r="BF11" s="18">
        <f t="shared" si="9"/>
        <v>0</v>
      </c>
      <c r="BG11" s="18">
        <f t="shared" si="9"/>
        <v>0</v>
      </c>
      <c r="BH11" s="18">
        <f t="shared" si="9"/>
        <v>0</v>
      </c>
      <c r="BI11" s="18">
        <f t="shared" si="9"/>
        <v>0</v>
      </c>
      <c r="BJ11" s="18">
        <f t="shared" si="9"/>
        <v>0</v>
      </c>
      <c r="BK11" s="18">
        <f t="shared" si="9"/>
        <v>0</v>
      </c>
      <c r="BL11" s="18">
        <f t="shared" si="9"/>
        <v>0</v>
      </c>
      <c r="BM11" s="18">
        <f t="shared" si="9"/>
        <v>0</v>
      </c>
      <c r="BN11" s="18">
        <f t="shared" si="9"/>
        <v>0</v>
      </c>
      <c r="BO11" s="18">
        <f t="shared" si="9"/>
        <v>0</v>
      </c>
      <c r="BP11" s="18">
        <f t="shared" si="9"/>
        <v>0</v>
      </c>
      <c r="BQ11" s="99">
        <f t="shared" si="8"/>
        <v>0</v>
      </c>
    </row>
    <row r="12" spans="1:69" ht="72" x14ac:dyDescent="0.3">
      <c r="A12" s="1"/>
      <c r="B12" s="14" t="s">
        <v>477</v>
      </c>
      <c r="C12" s="26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99">
        <f t="shared" si="3"/>
        <v>0</v>
      </c>
      <c r="R12" s="18">
        <f t="shared" ref="R12:BP12" si="10">$C$12*$D$12</f>
        <v>0</v>
      </c>
      <c r="S12" s="18">
        <f t="shared" si="10"/>
        <v>0</v>
      </c>
      <c r="T12" s="18">
        <f t="shared" si="10"/>
        <v>0</v>
      </c>
      <c r="U12" s="18">
        <f t="shared" si="10"/>
        <v>0</v>
      </c>
      <c r="V12" s="18">
        <f t="shared" si="10"/>
        <v>0</v>
      </c>
      <c r="W12" s="18">
        <f t="shared" si="10"/>
        <v>0</v>
      </c>
      <c r="X12" s="18">
        <f t="shared" si="10"/>
        <v>0</v>
      </c>
      <c r="Y12" s="18">
        <f t="shared" si="10"/>
        <v>0</v>
      </c>
      <c r="Z12" s="18">
        <f t="shared" si="10"/>
        <v>0</v>
      </c>
      <c r="AA12" s="18">
        <f t="shared" si="10"/>
        <v>0</v>
      </c>
      <c r="AB12" s="18">
        <f t="shared" si="10"/>
        <v>0</v>
      </c>
      <c r="AC12" s="18">
        <f t="shared" si="10"/>
        <v>0</v>
      </c>
      <c r="AD12" s="99">
        <f t="shared" si="5"/>
        <v>0</v>
      </c>
      <c r="AE12" s="18">
        <f>$C$12*$D$12</f>
        <v>0</v>
      </c>
      <c r="AF12" s="18">
        <f t="shared" si="10"/>
        <v>0</v>
      </c>
      <c r="AG12" s="18">
        <f t="shared" si="10"/>
        <v>0</v>
      </c>
      <c r="AH12" s="18">
        <f t="shared" si="10"/>
        <v>0</v>
      </c>
      <c r="AI12" s="18">
        <f t="shared" si="10"/>
        <v>0</v>
      </c>
      <c r="AJ12" s="18">
        <f t="shared" si="10"/>
        <v>0</v>
      </c>
      <c r="AK12" s="18">
        <f t="shared" si="10"/>
        <v>0</v>
      </c>
      <c r="AL12" s="18">
        <f t="shared" si="10"/>
        <v>0</v>
      </c>
      <c r="AM12" s="18">
        <f t="shared" si="10"/>
        <v>0</v>
      </c>
      <c r="AN12" s="18">
        <f t="shared" si="10"/>
        <v>0</v>
      </c>
      <c r="AO12" s="18">
        <f t="shared" si="10"/>
        <v>0</v>
      </c>
      <c r="AP12" s="18">
        <f t="shared" si="10"/>
        <v>0</v>
      </c>
      <c r="AQ12" s="99">
        <f t="shared" si="6"/>
        <v>0</v>
      </c>
      <c r="AR12" s="18">
        <f>$C$12*$D$12</f>
        <v>0</v>
      </c>
      <c r="AS12" s="18">
        <f t="shared" si="10"/>
        <v>0</v>
      </c>
      <c r="AT12" s="18">
        <f t="shared" si="10"/>
        <v>0</v>
      </c>
      <c r="AU12" s="18">
        <f t="shared" si="10"/>
        <v>0</v>
      </c>
      <c r="AV12" s="18">
        <f t="shared" si="10"/>
        <v>0</v>
      </c>
      <c r="AW12" s="18">
        <f t="shared" si="10"/>
        <v>0</v>
      </c>
      <c r="AX12" s="18">
        <f t="shared" si="10"/>
        <v>0</v>
      </c>
      <c r="AY12" s="18">
        <f t="shared" si="10"/>
        <v>0</v>
      </c>
      <c r="AZ12" s="18">
        <f t="shared" si="10"/>
        <v>0</v>
      </c>
      <c r="BA12" s="18">
        <f t="shared" si="10"/>
        <v>0</v>
      </c>
      <c r="BB12" s="18">
        <f t="shared" si="10"/>
        <v>0</v>
      </c>
      <c r="BC12" s="18">
        <f t="shared" si="10"/>
        <v>0</v>
      </c>
      <c r="BD12" s="99">
        <f t="shared" si="7"/>
        <v>0</v>
      </c>
      <c r="BE12" s="18">
        <f>$C$12*$D$12</f>
        <v>0</v>
      </c>
      <c r="BF12" s="18">
        <f t="shared" si="10"/>
        <v>0</v>
      </c>
      <c r="BG12" s="18">
        <f t="shared" si="10"/>
        <v>0</v>
      </c>
      <c r="BH12" s="18">
        <f t="shared" si="10"/>
        <v>0</v>
      </c>
      <c r="BI12" s="18">
        <f t="shared" si="10"/>
        <v>0</v>
      </c>
      <c r="BJ12" s="18">
        <f t="shared" si="10"/>
        <v>0</v>
      </c>
      <c r="BK12" s="18">
        <f t="shared" si="10"/>
        <v>0</v>
      </c>
      <c r="BL12" s="18">
        <f t="shared" si="10"/>
        <v>0</v>
      </c>
      <c r="BM12" s="18">
        <f t="shared" si="10"/>
        <v>0</v>
      </c>
      <c r="BN12" s="18">
        <f t="shared" si="10"/>
        <v>0</v>
      </c>
      <c r="BO12" s="18">
        <f t="shared" si="10"/>
        <v>0</v>
      </c>
      <c r="BP12" s="18">
        <f t="shared" si="10"/>
        <v>0</v>
      </c>
      <c r="BQ12" s="99">
        <f t="shared" si="8"/>
        <v>0</v>
      </c>
    </row>
    <row r="13" spans="1:69" ht="57.6" x14ac:dyDescent="0.3">
      <c r="A13" s="1"/>
      <c r="B13" s="14" t="s">
        <v>478</v>
      </c>
      <c r="C13" s="26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99">
        <f t="shared" si="3"/>
        <v>0</v>
      </c>
      <c r="R13" s="18">
        <f t="shared" ref="R13:BP13" si="11">$C$13*$D$13</f>
        <v>0</v>
      </c>
      <c r="S13" s="18">
        <f t="shared" si="11"/>
        <v>0</v>
      </c>
      <c r="T13" s="18">
        <f t="shared" si="11"/>
        <v>0</v>
      </c>
      <c r="U13" s="18">
        <f t="shared" si="11"/>
        <v>0</v>
      </c>
      <c r="V13" s="18">
        <f t="shared" si="11"/>
        <v>0</v>
      </c>
      <c r="W13" s="18">
        <f t="shared" si="11"/>
        <v>0</v>
      </c>
      <c r="X13" s="18">
        <f t="shared" si="11"/>
        <v>0</v>
      </c>
      <c r="Y13" s="18">
        <f t="shared" si="11"/>
        <v>0</v>
      </c>
      <c r="Z13" s="18">
        <f t="shared" si="11"/>
        <v>0</v>
      </c>
      <c r="AA13" s="18">
        <f t="shared" si="11"/>
        <v>0</v>
      </c>
      <c r="AB13" s="18">
        <f t="shared" si="11"/>
        <v>0</v>
      </c>
      <c r="AC13" s="18">
        <f t="shared" si="11"/>
        <v>0</v>
      </c>
      <c r="AD13" s="99">
        <f t="shared" si="5"/>
        <v>0</v>
      </c>
      <c r="AE13" s="18">
        <f>$C$13*$D$13</f>
        <v>0</v>
      </c>
      <c r="AF13" s="18">
        <f t="shared" si="11"/>
        <v>0</v>
      </c>
      <c r="AG13" s="18">
        <f t="shared" si="11"/>
        <v>0</v>
      </c>
      <c r="AH13" s="18">
        <f t="shared" si="11"/>
        <v>0</v>
      </c>
      <c r="AI13" s="18">
        <f t="shared" si="11"/>
        <v>0</v>
      </c>
      <c r="AJ13" s="18">
        <f t="shared" si="11"/>
        <v>0</v>
      </c>
      <c r="AK13" s="18">
        <f t="shared" si="11"/>
        <v>0</v>
      </c>
      <c r="AL13" s="18">
        <f t="shared" si="11"/>
        <v>0</v>
      </c>
      <c r="AM13" s="18">
        <f t="shared" si="11"/>
        <v>0</v>
      </c>
      <c r="AN13" s="18">
        <f t="shared" si="11"/>
        <v>0</v>
      </c>
      <c r="AO13" s="18">
        <f t="shared" si="11"/>
        <v>0</v>
      </c>
      <c r="AP13" s="18">
        <f t="shared" si="11"/>
        <v>0</v>
      </c>
      <c r="AQ13" s="99">
        <f t="shared" si="6"/>
        <v>0</v>
      </c>
      <c r="AR13" s="18">
        <f>$C$13*$D$13</f>
        <v>0</v>
      </c>
      <c r="AS13" s="18">
        <f t="shared" si="11"/>
        <v>0</v>
      </c>
      <c r="AT13" s="18">
        <f t="shared" si="11"/>
        <v>0</v>
      </c>
      <c r="AU13" s="18">
        <f t="shared" si="11"/>
        <v>0</v>
      </c>
      <c r="AV13" s="18">
        <f t="shared" si="11"/>
        <v>0</v>
      </c>
      <c r="AW13" s="18">
        <f t="shared" si="11"/>
        <v>0</v>
      </c>
      <c r="AX13" s="18">
        <f t="shared" si="11"/>
        <v>0</v>
      </c>
      <c r="AY13" s="18">
        <f t="shared" si="11"/>
        <v>0</v>
      </c>
      <c r="AZ13" s="18">
        <f t="shared" si="11"/>
        <v>0</v>
      </c>
      <c r="BA13" s="18">
        <f t="shared" si="11"/>
        <v>0</v>
      </c>
      <c r="BB13" s="18">
        <f t="shared" si="11"/>
        <v>0</v>
      </c>
      <c r="BC13" s="18">
        <f t="shared" si="11"/>
        <v>0</v>
      </c>
      <c r="BD13" s="99">
        <f t="shared" si="7"/>
        <v>0</v>
      </c>
      <c r="BE13" s="18">
        <f>$C$13*$D$13</f>
        <v>0</v>
      </c>
      <c r="BF13" s="18">
        <f t="shared" si="11"/>
        <v>0</v>
      </c>
      <c r="BG13" s="18">
        <f t="shared" si="11"/>
        <v>0</v>
      </c>
      <c r="BH13" s="18">
        <f t="shared" si="11"/>
        <v>0</v>
      </c>
      <c r="BI13" s="18">
        <f t="shared" si="11"/>
        <v>0</v>
      </c>
      <c r="BJ13" s="18">
        <f t="shared" si="11"/>
        <v>0</v>
      </c>
      <c r="BK13" s="18">
        <f t="shared" si="11"/>
        <v>0</v>
      </c>
      <c r="BL13" s="18">
        <f t="shared" si="11"/>
        <v>0</v>
      </c>
      <c r="BM13" s="18">
        <f t="shared" si="11"/>
        <v>0</v>
      </c>
      <c r="BN13" s="18">
        <f t="shared" si="11"/>
        <v>0</v>
      </c>
      <c r="BO13" s="18">
        <f t="shared" si="11"/>
        <v>0</v>
      </c>
      <c r="BP13" s="18">
        <f t="shared" si="11"/>
        <v>0</v>
      </c>
      <c r="BQ13" s="99">
        <f t="shared" si="8"/>
        <v>0</v>
      </c>
    </row>
    <row r="14" spans="1:69" ht="72" x14ac:dyDescent="0.3">
      <c r="A14" s="1"/>
      <c r="B14" s="14" t="s">
        <v>479</v>
      </c>
      <c r="C14" s="26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99">
        <f t="shared" si="3"/>
        <v>0</v>
      </c>
      <c r="R14" s="18">
        <f t="shared" ref="R14:BP14" si="12">$C$14*$D$14</f>
        <v>0</v>
      </c>
      <c r="S14" s="18">
        <f t="shared" si="12"/>
        <v>0</v>
      </c>
      <c r="T14" s="18">
        <f t="shared" si="12"/>
        <v>0</v>
      </c>
      <c r="U14" s="18">
        <f t="shared" si="12"/>
        <v>0</v>
      </c>
      <c r="V14" s="18">
        <f t="shared" si="12"/>
        <v>0</v>
      </c>
      <c r="W14" s="18">
        <f t="shared" si="12"/>
        <v>0</v>
      </c>
      <c r="X14" s="18">
        <f t="shared" si="12"/>
        <v>0</v>
      </c>
      <c r="Y14" s="18">
        <f t="shared" si="12"/>
        <v>0</v>
      </c>
      <c r="Z14" s="18">
        <f t="shared" si="12"/>
        <v>0</v>
      </c>
      <c r="AA14" s="18">
        <f t="shared" si="12"/>
        <v>0</v>
      </c>
      <c r="AB14" s="18">
        <f t="shared" si="12"/>
        <v>0</v>
      </c>
      <c r="AC14" s="18">
        <f t="shared" si="12"/>
        <v>0</v>
      </c>
      <c r="AD14" s="99">
        <f t="shared" si="5"/>
        <v>0</v>
      </c>
      <c r="AE14" s="18">
        <f>$C$14*$D$14</f>
        <v>0</v>
      </c>
      <c r="AF14" s="18">
        <f t="shared" si="12"/>
        <v>0</v>
      </c>
      <c r="AG14" s="18">
        <f t="shared" si="12"/>
        <v>0</v>
      </c>
      <c r="AH14" s="18">
        <f t="shared" si="12"/>
        <v>0</v>
      </c>
      <c r="AI14" s="18">
        <f t="shared" si="12"/>
        <v>0</v>
      </c>
      <c r="AJ14" s="18">
        <f t="shared" si="12"/>
        <v>0</v>
      </c>
      <c r="AK14" s="18">
        <f t="shared" si="12"/>
        <v>0</v>
      </c>
      <c r="AL14" s="18">
        <f t="shared" si="12"/>
        <v>0</v>
      </c>
      <c r="AM14" s="18">
        <f t="shared" si="12"/>
        <v>0</v>
      </c>
      <c r="AN14" s="18">
        <f t="shared" si="12"/>
        <v>0</v>
      </c>
      <c r="AO14" s="18">
        <f t="shared" si="12"/>
        <v>0</v>
      </c>
      <c r="AP14" s="18">
        <f t="shared" si="12"/>
        <v>0</v>
      </c>
      <c r="AQ14" s="99">
        <f t="shared" si="6"/>
        <v>0</v>
      </c>
      <c r="AR14" s="18">
        <f>$C$14*$D$14</f>
        <v>0</v>
      </c>
      <c r="AS14" s="18">
        <f t="shared" si="12"/>
        <v>0</v>
      </c>
      <c r="AT14" s="18">
        <f t="shared" si="12"/>
        <v>0</v>
      </c>
      <c r="AU14" s="18">
        <f t="shared" si="12"/>
        <v>0</v>
      </c>
      <c r="AV14" s="18">
        <f t="shared" si="12"/>
        <v>0</v>
      </c>
      <c r="AW14" s="18">
        <f t="shared" si="12"/>
        <v>0</v>
      </c>
      <c r="AX14" s="18">
        <f t="shared" si="12"/>
        <v>0</v>
      </c>
      <c r="AY14" s="18">
        <f t="shared" si="12"/>
        <v>0</v>
      </c>
      <c r="AZ14" s="18">
        <f t="shared" si="12"/>
        <v>0</v>
      </c>
      <c r="BA14" s="18">
        <f t="shared" si="12"/>
        <v>0</v>
      </c>
      <c r="BB14" s="18">
        <f t="shared" si="12"/>
        <v>0</v>
      </c>
      <c r="BC14" s="18">
        <f t="shared" si="12"/>
        <v>0</v>
      </c>
      <c r="BD14" s="99">
        <f t="shared" si="7"/>
        <v>0</v>
      </c>
      <c r="BE14" s="18">
        <f>$C$14*$D$14</f>
        <v>0</v>
      </c>
      <c r="BF14" s="18">
        <f t="shared" si="12"/>
        <v>0</v>
      </c>
      <c r="BG14" s="18">
        <f t="shared" si="12"/>
        <v>0</v>
      </c>
      <c r="BH14" s="18">
        <f t="shared" si="12"/>
        <v>0</v>
      </c>
      <c r="BI14" s="18">
        <f t="shared" si="12"/>
        <v>0</v>
      </c>
      <c r="BJ14" s="18">
        <f t="shared" si="12"/>
        <v>0</v>
      </c>
      <c r="BK14" s="18">
        <f t="shared" si="12"/>
        <v>0</v>
      </c>
      <c r="BL14" s="18">
        <f t="shared" si="12"/>
        <v>0</v>
      </c>
      <c r="BM14" s="18">
        <f t="shared" si="12"/>
        <v>0</v>
      </c>
      <c r="BN14" s="18">
        <f t="shared" si="12"/>
        <v>0</v>
      </c>
      <c r="BO14" s="18">
        <f t="shared" si="12"/>
        <v>0</v>
      </c>
      <c r="BP14" s="18">
        <f t="shared" si="12"/>
        <v>0</v>
      </c>
      <c r="BQ14" s="99">
        <f t="shared" si="8"/>
        <v>0</v>
      </c>
    </row>
    <row r="15" spans="1:69" ht="28.8" x14ac:dyDescent="0.3">
      <c r="A15" s="1"/>
      <c r="B15" s="14" t="s">
        <v>480</v>
      </c>
      <c r="C15" s="133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99">
        <f t="shared" si="3"/>
        <v>0</v>
      </c>
      <c r="R15" s="18">
        <f t="shared" ref="R15:BP15" si="13">$C$15*$D$15</f>
        <v>0</v>
      </c>
      <c r="S15" s="18">
        <f t="shared" si="13"/>
        <v>0</v>
      </c>
      <c r="T15" s="18">
        <f t="shared" si="13"/>
        <v>0</v>
      </c>
      <c r="U15" s="18">
        <f t="shared" si="13"/>
        <v>0</v>
      </c>
      <c r="V15" s="18">
        <f t="shared" si="13"/>
        <v>0</v>
      </c>
      <c r="W15" s="18">
        <f t="shared" si="13"/>
        <v>0</v>
      </c>
      <c r="X15" s="18">
        <f t="shared" si="13"/>
        <v>0</v>
      </c>
      <c r="Y15" s="18">
        <f t="shared" si="13"/>
        <v>0</v>
      </c>
      <c r="Z15" s="18">
        <f t="shared" si="13"/>
        <v>0</v>
      </c>
      <c r="AA15" s="18">
        <f t="shared" si="13"/>
        <v>0</v>
      </c>
      <c r="AB15" s="18">
        <f t="shared" si="13"/>
        <v>0</v>
      </c>
      <c r="AC15" s="18">
        <f t="shared" si="13"/>
        <v>0</v>
      </c>
      <c r="AD15" s="99">
        <f t="shared" si="5"/>
        <v>0</v>
      </c>
      <c r="AE15" s="18">
        <f>$C$15*$D$15</f>
        <v>0</v>
      </c>
      <c r="AF15" s="18">
        <f t="shared" si="13"/>
        <v>0</v>
      </c>
      <c r="AG15" s="18">
        <f t="shared" si="13"/>
        <v>0</v>
      </c>
      <c r="AH15" s="18">
        <f t="shared" si="13"/>
        <v>0</v>
      </c>
      <c r="AI15" s="18">
        <f t="shared" si="13"/>
        <v>0</v>
      </c>
      <c r="AJ15" s="18">
        <f t="shared" si="13"/>
        <v>0</v>
      </c>
      <c r="AK15" s="18">
        <f t="shared" si="13"/>
        <v>0</v>
      </c>
      <c r="AL15" s="18">
        <f t="shared" si="13"/>
        <v>0</v>
      </c>
      <c r="AM15" s="18">
        <f t="shared" si="13"/>
        <v>0</v>
      </c>
      <c r="AN15" s="18">
        <f t="shared" si="13"/>
        <v>0</v>
      </c>
      <c r="AO15" s="18">
        <f t="shared" si="13"/>
        <v>0</v>
      </c>
      <c r="AP15" s="18">
        <f t="shared" si="13"/>
        <v>0</v>
      </c>
      <c r="AQ15" s="99">
        <f t="shared" si="6"/>
        <v>0</v>
      </c>
      <c r="AR15" s="18">
        <f>$C$15*$D$15</f>
        <v>0</v>
      </c>
      <c r="AS15" s="18">
        <f t="shared" si="13"/>
        <v>0</v>
      </c>
      <c r="AT15" s="18">
        <f t="shared" si="13"/>
        <v>0</v>
      </c>
      <c r="AU15" s="18">
        <f t="shared" si="13"/>
        <v>0</v>
      </c>
      <c r="AV15" s="18">
        <f t="shared" si="13"/>
        <v>0</v>
      </c>
      <c r="AW15" s="18">
        <f t="shared" si="13"/>
        <v>0</v>
      </c>
      <c r="AX15" s="18">
        <f t="shared" si="13"/>
        <v>0</v>
      </c>
      <c r="AY15" s="18">
        <f t="shared" si="13"/>
        <v>0</v>
      </c>
      <c r="AZ15" s="18">
        <f t="shared" si="13"/>
        <v>0</v>
      </c>
      <c r="BA15" s="18">
        <f t="shared" si="13"/>
        <v>0</v>
      </c>
      <c r="BB15" s="18">
        <f t="shared" si="13"/>
        <v>0</v>
      </c>
      <c r="BC15" s="18">
        <f t="shared" si="13"/>
        <v>0</v>
      </c>
      <c r="BD15" s="99">
        <f t="shared" si="7"/>
        <v>0</v>
      </c>
      <c r="BE15" s="18">
        <f>$C$15*$D$15</f>
        <v>0</v>
      </c>
      <c r="BF15" s="18">
        <f t="shared" si="13"/>
        <v>0</v>
      </c>
      <c r="BG15" s="18">
        <f t="shared" si="13"/>
        <v>0</v>
      </c>
      <c r="BH15" s="18">
        <f t="shared" si="13"/>
        <v>0</v>
      </c>
      <c r="BI15" s="18">
        <f t="shared" si="13"/>
        <v>0</v>
      </c>
      <c r="BJ15" s="18">
        <f t="shared" si="13"/>
        <v>0</v>
      </c>
      <c r="BK15" s="18">
        <f t="shared" si="13"/>
        <v>0</v>
      </c>
      <c r="BL15" s="18">
        <f t="shared" si="13"/>
        <v>0</v>
      </c>
      <c r="BM15" s="18">
        <f t="shared" si="13"/>
        <v>0</v>
      </c>
      <c r="BN15" s="18">
        <f t="shared" si="13"/>
        <v>0</v>
      </c>
      <c r="BO15" s="18">
        <f t="shared" si="13"/>
        <v>0</v>
      </c>
      <c r="BP15" s="18">
        <f t="shared" si="13"/>
        <v>0</v>
      </c>
      <c r="BQ15" s="99">
        <f t="shared" si="8"/>
        <v>0</v>
      </c>
    </row>
    <row r="16" spans="1:69" ht="57.6" x14ac:dyDescent="0.3">
      <c r="A16" s="1"/>
      <c r="B16" s="14" t="s">
        <v>481</v>
      </c>
      <c r="C16" s="133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99">
        <f t="shared" si="3"/>
        <v>0</v>
      </c>
      <c r="R16" s="18">
        <f t="shared" ref="R16:BP16" si="14">$C$16*$D$16</f>
        <v>0</v>
      </c>
      <c r="S16" s="18">
        <f t="shared" si="14"/>
        <v>0</v>
      </c>
      <c r="T16" s="18">
        <f t="shared" si="14"/>
        <v>0</v>
      </c>
      <c r="U16" s="18">
        <f t="shared" si="14"/>
        <v>0</v>
      </c>
      <c r="V16" s="18">
        <f t="shared" si="14"/>
        <v>0</v>
      </c>
      <c r="W16" s="18">
        <f t="shared" si="14"/>
        <v>0</v>
      </c>
      <c r="X16" s="18">
        <f t="shared" si="14"/>
        <v>0</v>
      </c>
      <c r="Y16" s="18">
        <f t="shared" si="14"/>
        <v>0</v>
      </c>
      <c r="Z16" s="18">
        <f t="shared" si="14"/>
        <v>0</v>
      </c>
      <c r="AA16" s="18">
        <f t="shared" si="14"/>
        <v>0</v>
      </c>
      <c r="AB16" s="18">
        <f t="shared" si="14"/>
        <v>0</v>
      </c>
      <c r="AC16" s="18">
        <f t="shared" si="14"/>
        <v>0</v>
      </c>
      <c r="AD16" s="99">
        <f t="shared" si="5"/>
        <v>0</v>
      </c>
      <c r="AE16" s="18">
        <f>$C$16*$D$16</f>
        <v>0</v>
      </c>
      <c r="AF16" s="18">
        <f t="shared" si="14"/>
        <v>0</v>
      </c>
      <c r="AG16" s="18">
        <f t="shared" si="14"/>
        <v>0</v>
      </c>
      <c r="AH16" s="18">
        <f t="shared" si="14"/>
        <v>0</v>
      </c>
      <c r="AI16" s="18">
        <f t="shared" si="14"/>
        <v>0</v>
      </c>
      <c r="AJ16" s="18">
        <f t="shared" si="14"/>
        <v>0</v>
      </c>
      <c r="AK16" s="18">
        <f t="shared" si="14"/>
        <v>0</v>
      </c>
      <c r="AL16" s="18">
        <f t="shared" si="14"/>
        <v>0</v>
      </c>
      <c r="AM16" s="18">
        <f t="shared" si="14"/>
        <v>0</v>
      </c>
      <c r="AN16" s="18">
        <f t="shared" si="14"/>
        <v>0</v>
      </c>
      <c r="AO16" s="18">
        <f t="shared" si="14"/>
        <v>0</v>
      </c>
      <c r="AP16" s="18">
        <f t="shared" si="14"/>
        <v>0</v>
      </c>
      <c r="AQ16" s="99">
        <f t="shared" si="6"/>
        <v>0</v>
      </c>
      <c r="AR16" s="18">
        <f>$C$16*$D$16</f>
        <v>0</v>
      </c>
      <c r="AS16" s="18">
        <f t="shared" si="14"/>
        <v>0</v>
      </c>
      <c r="AT16" s="18">
        <f t="shared" si="14"/>
        <v>0</v>
      </c>
      <c r="AU16" s="18">
        <f t="shared" si="14"/>
        <v>0</v>
      </c>
      <c r="AV16" s="18">
        <f t="shared" si="14"/>
        <v>0</v>
      </c>
      <c r="AW16" s="18">
        <f t="shared" si="14"/>
        <v>0</v>
      </c>
      <c r="AX16" s="18">
        <f t="shared" si="14"/>
        <v>0</v>
      </c>
      <c r="AY16" s="18">
        <f t="shared" si="14"/>
        <v>0</v>
      </c>
      <c r="AZ16" s="18">
        <f t="shared" si="14"/>
        <v>0</v>
      </c>
      <c r="BA16" s="18">
        <f t="shared" si="14"/>
        <v>0</v>
      </c>
      <c r="BB16" s="18">
        <f t="shared" si="14"/>
        <v>0</v>
      </c>
      <c r="BC16" s="18">
        <f t="shared" si="14"/>
        <v>0</v>
      </c>
      <c r="BD16" s="99">
        <f t="shared" si="7"/>
        <v>0</v>
      </c>
      <c r="BE16" s="18">
        <f>$C$16*$D$16</f>
        <v>0</v>
      </c>
      <c r="BF16" s="18">
        <f t="shared" si="14"/>
        <v>0</v>
      </c>
      <c r="BG16" s="18">
        <f t="shared" si="14"/>
        <v>0</v>
      </c>
      <c r="BH16" s="18">
        <f t="shared" si="14"/>
        <v>0</v>
      </c>
      <c r="BI16" s="18">
        <f t="shared" si="14"/>
        <v>0</v>
      </c>
      <c r="BJ16" s="18">
        <f t="shared" si="14"/>
        <v>0</v>
      </c>
      <c r="BK16" s="18">
        <f t="shared" si="14"/>
        <v>0</v>
      </c>
      <c r="BL16" s="18">
        <f t="shared" si="14"/>
        <v>0</v>
      </c>
      <c r="BM16" s="18">
        <f t="shared" si="14"/>
        <v>0</v>
      </c>
      <c r="BN16" s="18">
        <f t="shared" si="14"/>
        <v>0</v>
      </c>
      <c r="BO16" s="18">
        <f t="shared" si="14"/>
        <v>0</v>
      </c>
      <c r="BP16" s="18">
        <f t="shared" si="14"/>
        <v>0</v>
      </c>
      <c r="BQ16" s="99">
        <f t="shared" si="8"/>
        <v>0</v>
      </c>
    </row>
    <row r="17" spans="1:69" ht="57.6" x14ac:dyDescent="0.3">
      <c r="A17" s="1"/>
      <c r="B17" s="14" t="s">
        <v>482</v>
      </c>
      <c r="C17" s="133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99">
        <f t="shared" si="3"/>
        <v>0</v>
      </c>
      <c r="R17" s="18">
        <f t="shared" ref="R17:BP17" si="15">$C$17*$D$17</f>
        <v>0</v>
      </c>
      <c r="S17" s="18">
        <f t="shared" si="15"/>
        <v>0</v>
      </c>
      <c r="T17" s="18">
        <f t="shared" si="15"/>
        <v>0</v>
      </c>
      <c r="U17" s="18">
        <f t="shared" si="15"/>
        <v>0</v>
      </c>
      <c r="V17" s="18">
        <f t="shared" si="15"/>
        <v>0</v>
      </c>
      <c r="W17" s="18">
        <f t="shared" si="15"/>
        <v>0</v>
      </c>
      <c r="X17" s="18">
        <f t="shared" si="15"/>
        <v>0</v>
      </c>
      <c r="Y17" s="18">
        <f t="shared" si="15"/>
        <v>0</v>
      </c>
      <c r="Z17" s="18">
        <f t="shared" si="15"/>
        <v>0</v>
      </c>
      <c r="AA17" s="18">
        <f t="shared" si="15"/>
        <v>0</v>
      </c>
      <c r="AB17" s="18">
        <f t="shared" si="15"/>
        <v>0</v>
      </c>
      <c r="AC17" s="18">
        <f t="shared" si="15"/>
        <v>0</v>
      </c>
      <c r="AD17" s="99">
        <f t="shared" si="5"/>
        <v>0</v>
      </c>
      <c r="AE17" s="18">
        <f>$C$17*$D$17</f>
        <v>0</v>
      </c>
      <c r="AF17" s="18">
        <f t="shared" si="15"/>
        <v>0</v>
      </c>
      <c r="AG17" s="18">
        <f t="shared" si="15"/>
        <v>0</v>
      </c>
      <c r="AH17" s="18">
        <f t="shared" si="15"/>
        <v>0</v>
      </c>
      <c r="AI17" s="18">
        <f t="shared" si="15"/>
        <v>0</v>
      </c>
      <c r="AJ17" s="18">
        <f t="shared" si="15"/>
        <v>0</v>
      </c>
      <c r="AK17" s="18">
        <f t="shared" si="15"/>
        <v>0</v>
      </c>
      <c r="AL17" s="18">
        <f t="shared" si="15"/>
        <v>0</v>
      </c>
      <c r="AM17" s="18">
        <f t="shared" si="15"/>
        <v>0</v>
      </c>
      <c r="AN17" s="18">
        <f t="shared" si="15"/>
        <v>0</v>
      </c>
      <c r="AO17" s="18">
        <f t="shared" si="15"/>
        <v>0</v>
      </c>
      <c r="AP17" s="18">
        <f t="shared" si="15"/>
        <v>0</v>
      </c>
      <c r="AQ17" s="99">
        <f t="shared" si="6"/>
        <v>0</v>
      </c>
      <c r="AR17" s="18">
        <f>$C$17*$D$17</f>
        <v>0</v>
      </c>
      <c r="AS17" s="18">
        <f t="shared" si="15"/>
        <v>0</v>
      </c>
      <c r="AT17" s="18">
        <f t="shared" si="15"/>
        <v>0</v>
      </c>
      <c r="AU17" s="18">
        <f t="shared" si="15"/>
        <v>0</v>
      </c>
      <c r="AV17" s="18">
        <f t="shared" si="15"/>
        <v>0</v>
      </c>
      <c r="AW17" s="18">
        <f t="shared" si="15"/>
        <v>0</v>
      </c>
      <c r="AX17" s="18">
        <f t="shared" si="15"/>
        <v>0</v>
      </c>
      <c r="AY17" s="18">
        <f t="shared" si="15"/>
        <v>0</v>
      </c>
      <c r="AZ17" s="18">
        <f t="shared" si="15"/>
        <v>0</v>
      </c>
      <c r="BA17" s="18">
        <f t="shared" si="15"/>
        <v>0</v>
      </c>
      <c r="BB17" s="18">
        <f t="shared" si="15"/>
        <v>0</v>
      </c>
      <c r="BC17" s="18">
        <f t="shared" si="15"/>
        <v>0</v>
      </c>
      <c r="BD17" s="99">
        <f t="shared" si="7"/>
        <v>0</v>
      </c>
      <c r="BE17" s="18">
        <f>$C$17*$D$17</f>
        <v>0</v>
      </c>
      <c r="BF17" s="18">
        <f t="shared" si="15"/>
        <v>0</v>
      </c>
      <c r="BG17" s="18">
        <f t="shared" si="15"/>
        <v>0</v>
      </c>
      <c r="BH17" s="18">
        <f t="shared" si="15"/>
        <v>0</v>
      </c>
      <c r="BI17" s="18">
        <f t="shared" si="15"/>
        <v>0</v>
      </c>
      <c r="BJ17" s="18">
        <f t="shared" si="15"/>
        <v>0</v>
      </c>
      <c r="BK17" s="18">
        <f t="shared" si="15"/>
        <v>0</v>
      </c>
      <c r="BL17" s="18">
        <f t="shared" si="15"/>
        <v>0</v>
      </c>
      <c r="BM17" s="18">
        <f t="shared" si="15"/>
        <v>0</v>
      </c>
      <c r="BN17" s="18">
        <f t="shared" si="15"/>
        <v>0</v>
      </c>
      <c r="BO17" s="18">
        <f t="shared" si="15"/>
        <v>0</v>
      </c>
      <c r="BP17" s="18">
        <f t="shared" si="15"/>
        <v>0</v>
      </c>
      <c r="BQ17" s="99">
        <f t="shared" si="8"/>
        <v>0</v>
      </c>
    </row>
    <row r="18" spans="1:69" ht="129.6" x14ac:dyDescent="0.3">
      <c r="A18" s="1"/>
      <c r="B18" s="14" t="s">
        <v>483</v>
      </c>
      <c r="C18" s="133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99">
        <f t="shared" si="3"/>
        <v>0</v>
      </c>
      <c r="R18" s="18">
        <f t="shared" ref="R18:BP18" si="16">$C$18*$D$18</f>
        <v>0</v>
      </c>
      <c r="S18" s="18">
        <f t="shared" si="16"/>
        <v>0</v>
      </c>
      <c r="T18" s="18">
        <f t="shared" si="16"/>
        <v>0</v>
      </c>
      <c r="U18" s="18">
        <f t="shared" si="16"/>
        <v>0</v>
      </c>
      <c r="V18" s="18">
        <f t="shared" si="16"/>
        <v>0</v>
      </c>
      <c r="W18" s="18">
        <f t="shared" si="16"/>
        <v>0</v>
      </c>
      <c r="X18" s="18">
        <f t="shared" si="16"/>
        <v>0</v>
      </c>
      <c r="Y18" s="18">
        <f t="shared" si="16"/>
        <v>0</v>
      </c>
      <c r="Z18" s="18">
        <f t="shared" si="16"/>
        <v>0</v>
      </c>
      <c r="AA18" s="18">
        <f t="shared" si="16"/>
        <v>0</v>
      </c>
      <c r="AB18" s="18">
        <f t="shared" si="16"/>
        <v>0</v>
      </c>
      <c r="AC18" s="18">
        <f t="shared" si="16"/>
        <v>0</v>
      </c>
      <c r="AD18" s="99">
        <f t="shared" si="5"/>
        <v>0</v>
      </c>
      <c r="AE18" s="18">
        <f>$C$18*$D$18</f>
        <v>0</v>
      </c>
      <c r="AF18" s="18">
        <f t="shared" si="16"/>
        <v>0</v>
      </c>
      <c r="AG18" s="18">
        <f t="shared" si="16"/>
        <v>0</v>
      </c>
      <c r="AH18" s="18">
        <f t="shared" si="16"/>
        <v>0</v>
      </c>
      <c r="AI18" s="18">
        <f t="shared" si="16"/>
        <v>0</v>
      </c>
      <c r="AJ18" s="18">
        <f t="shared" si="16"/>
        <v>0</v>
      </c>
      <c r="AK18" s="18">
        <f t="shared" si="16"/>
        <v>0</v>
      </c>
      <c r="AL18" s="18">
        <f t="shared" si="16"/>
        <v>0</v>
      </c>
      <c r="AM18" s="18">
        <f t="shared" si="16"/>
        <v>0</v>
      </c>
      <c r="AN18" s="18">
        <f t="shared" si="16"/>
        <v>0</v>
      </c>
      <c r="AO18" s="18">
        <f t="shared" si="16"/>
        <v>0</v>
      </c>
      <c r="AP18" s="18">
        <f t="shared" si="16"/>
        <v>0</v>
      </c>
      <c r="AQ18" s="99">
        <f t="shared" si="6"/>
        <v>0</v>
      </c>
      <c r="AR18" s="18">
        <f>$C$18*$D$18</f>
        <v>0</v>
      </c>
      <c r="AS18" s="18">
        <f t="shared" si="16"/>
        <v>0</v>
      </c>
      <c r="AT18" s="18">
        <f t="shared" si="16"/>
        <v>0</v>
      </c>
      <c r="AU18" s="18">
        <f t="shared" si="16"/>
        <v>0</v>
      </c>
      <c r="AV18" s="18">
        <f t="shared" si="16"/>
        <v>0</v>
      </c>
      <c r="AW18" s="18">
        <f t="shared" si="16"/>
        <v>0</v>
      </c>
      <c r="AX18" s="18">
        <f t="shared" si="16"/>
        <v>0</v>
      </c>
      <c r="AY18" s="18">
        <f t="shared" si="16"/>
        <v>0</v>
      </c>
      <c r="AZ18" s="18">
        <f t="shared" si="16"/>
        <v>0</v>
      </c>
      <c r="BA18" s="18">
        <f t="shared" si="16"/>
        <v>0</v>
      </c>
      <c r="BB18" s="18">
        <f t="shared" si="16"/>
        <v>0</v>
      </c>
      <c r="BC18" s="18">
        <f t="shared" si="16"/>
        <v>0</v>
      </c>
      <c r="BD18" s="99">
        <f t="shared" si="7"/>
        <v>0</v>
      </c>
      <c r="BE18" s="18">
        <f>$C$18*$D$18</f>
        <v>0</v>
      </c>
      <c r="BF18" s="18">
        <f t="shared" si="16"/>
        <v>0</v>
      </c>
      <c r="BG18" s="18">
        <f t="shared" si="16"/>
        <v>0</v>
      </c>
      <c r="BH18" s="18">
        <f t="shared" si="16"/>
        <v>0</v>
      </c>
      <c r="BI18" s="18">
        <f t="shared" si="16"/>
        <v>0</v>
      </c>
      <c r="BJ18" s="18">
        <f t="shared" si="16"/>
        <v>0</v>
      </c>
      <c r="BK18" s="18">
        <f t="shared" si="16"/>
        <v>0</v>
      </c>
      <c r="BL18" s="18">
        <f t="shared" si="16"/>
        <v>0</v>
      </c>
      <c r="BM18" s="18">
        <f t="shared" si="16"/>
        <v>0</v>
      </c>
      <c r="BN18" s="18">
        <f t="shared" si="16"/>
        <v>0</v>
      </c>
      <c r="BO18" s="18">
        <f t="shared" si="16"/>
        <v>0</v>
      </c>
      <c r="BP18" s="18">
        <f t="shared" si="16"/>
        <v>0</v>
      </c>
      <c r="BQ18" s="99">
        <f t="shared" si="8"/>
        <v>0</v>
      </c>
    </row>
    <row r="19" spans="1:69" ht="100.8" x14ac:dyDescent="0.3">
      <c r="A19" s="1"/>
      <c r="B19" s="14" t="s">
        <v>484</v>
      </c>
      <c r="C19" s="133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99">
        <f t="shared" si="3"/>
        <v>0</v>
      </c>
      <c r="R19" s="18">
        <f t="shared" ref="R19:BP19" si="17">$C$19*$D$19</f>
        <v>0</v>
      </c>
      <c r="S19" s="18">
        <f t="shared" si="17"/>
        <v>0</v>
      </c>
      <c r="T19" s="18">
        <f t="shared" si="17"/>
        <v>0</v>
      </c>
      <c r="U19" s="18">
        <f t="shared" si="17"/>
        <v>0</v>
      </c>
      <c r="V19" s="18">
        <f t="shared" si="17"/>
        <v>0</v>
      </c>
      <c r="W19" s="18">
        <f t="shared" si="17"/>
        <v>0</v>
      </c>
      <c r="X19" s="18">
        <f t="shared" si="17"/>
        <v>0</v>
      </c>
      <c r="Y19" s="18">
        <f t="shared" si="17"/>
        <v>0</v>
      </c>
      <c r="Z19" s="18">
        <f t="shared" si="17"/>
        <v>0</v>
      </c>
      <c r="AA19" s="18">
        <f t="shared" si="17"/>
        <v>0</v>
      </c>
      <c r="AB19" s="18">
        <f t="shared" si="17"/>
        <v>0</v>
      </c>
      <c r="AC19" s="18">
        <f t="shared" si="17"/>
        <v>0</v>
      </c>
      <c r="AD19" s="99">
        <f t="shared" si="5"/>
        <v>0</v>
      </c>
      <c r="AE19" s="18">
        <f>$C$19*$D$19</f>
        <v>0</v>
      </c>
      <c r="AF19" s="18">
        <f t="shared" si="17"/>
        <v>0</v>
      </c>
      <c r="AG19" s="18">
        <f t="shared" si="17"/>
        <v>0</v>
      </c>
      <c r="AH19" s="18">
        <f t="shared" si="17"/>
        <v>0</v>
      </c>
      <c r="AI19" s="18">
        <f t="shared" si="17"/>
        <v>0</v>
      </c>
      <c r="AJ19" s="18">
        <f t="shared" si="17"/>
        <v>0</v>
      </c>
      <c r="AK19" s="18">
        <f t="shared" si="17"/>
        <v>0</v>
      </c>
      <c r="AL19" s="18">
        <f t="shared" si="17"/>
        <v>0</v>
      </c>
      <c r="AM19" s="18">
        <f t="shared" si="17"/>
        <v>0</v>
      </c>
      <c r="AN19" s="18">
        <f t="shared" si="17"/>
        <v>0</v>
      </c>
      <c r="AO19" s="18">
        <f t="shared" si="17"/>
        <v>0</v>
      </c>
      <c r="AP19" s="18">
        <f t="shared" si="17"/>
        <v>0</v>
      </c>
      <c r="AQ19" s="99">
        <f t="shared" si="6"/>
        <v>0</v>
      </c>
      <c r="AR19" s="18">
        <f>$C$19*$D$19</f>
        <v>0</v>
      </c>
      <c r="AS19" s="18">
        <f t="shared" si="17"/>
        <v>0</v>
      </c>
      <c r="AT19" s="18">
        <f t="shared" si="17"/>
        <v>0</v>
      </c>
      <c r="AU19" s="18">
        <f t="shared" si="17"/>
        <v>0</v>
      </c>
      <c r="AV19" s="18">
        <f t="shared" si="17"/>
        <v>0</v>
      </c>
      <c r="AW19" s="18">
        <f t="shared" si="17"/>
        <v>0</v>
      </c>
      <c r="AX19" s="18">
        <f t="shared" si="17"/>
        <v>0</v>
      </c>
      <c r="AY19" s="18">
        <f t="shared" si="17"/>
        <v>0</v>
      </c>
      <c r="AZ19" s="18">
        <f t="shared" si="17"/>
        <v>0</v>
      </c>
      <c r="BA19" s="18">
        <f t="shared" si="17"/>
        <v>0</v>
      </c>
      <c r="BB19" s="18">
        <f t="shared" si="17"/>
        <v>0</v>
      </c>
      <c r="BC19" s="18">
        <f t="shared" si="17"/>
        <v>0</v>
      </c>
      <c r="BD19" s="99">
        <f t="shared" si="7"/>
        <v>0</v>
      </c>
      <c r="BE19" s="18">
        <f>$C$19*$D$19</f>
        <v>0</v>
      </c>
      <c r="BF19" s="18">
        <f t="shared" si="17"/>
        <v>0</v>
      </c>
      <c r="BG19" s="18">
        <f t="shared" si="17"/>
        <v>0</v>
      </c>
      <c r="BH19" s="18">
        <f t="shared" si="17"/>
        <v>0</v>
      </c>
      <c r="BI19" s="18">
        <f t="shared" si="17"/>
        <v>0</v>
      </c>
      <c r="BJ19" s="18">
        <f t="shared" si="17"/>
        <v>0</v>
      </c>
      <c r="BK19" s="18">
        <f t="shared" si="17"/>
        <v>0</v>
      </c>
      <c r="BL19" s="18">
        <f t="shared" si="17"/>
        <v>0</v>
      </c>
      <c r="BM19" s="18">
        <f t="shared" si="17"/>
        <v>0</v>
      </c>
      <c r="BN19" s="18">
        <f t="shared" si="17"/>
        <v>0</v>
      </c>
      <c r="BO19" s="18">
        <f t="shared" si="17"/>
        <v>0</v>
      </c>
      <c r="BP19" s="18">
        <f t="shared" si="17"/>
        <v>0</v>
      </c>
      <c r="BQ19" s="99">
        <f t="shared" si="8"/>
        <v>0</v>
      </c>
    </row>
    <row r="20" spans="1:69" ht="86.4" x14ac:dyDescent="0.3">
      <c r="A20" s="1"/>
      <c r="B20" s="14" t="s">
        <v>485</v>
      </c>
      <c r="C20" s="133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99">
        <f t="shared" si="3"/>
        <v>0</v>
      </c>
      <c r="R20" s="18">
        <f t="shared" ref="R20:BP20" si="18">$C$20*$D$20</f>
        <v>0</v>
      </c>
      <c r="S20" s="18">
        <f t="shared" si="18"/>
        <v>0</v>
      </c>
      <c r="T20" s="18">
        <f t="shared" si="18"/>
        <v>0</v>
      </c>
      <c r="U20" s="18">
        <f t="shared" si="18"/>
        <v>0</v>
      </c>
      <c r="V20" s="18">
        <f t="shared" si="18"/>
        <v>0</v>
      </c>
      <c r="W20" s="18">
        <f t="shared" si="18"/>
        <v>0</v>
      </c>
      <c r="X20" s="18">
        <f t="shared" si="18"/>
        <v>0</v>
      </c>
      <c r="Y20" s="18">
        <f t="shared" si="18"/>
        <v>0</v>
      </c>
      <c r="Z20" s="18">
        <f t="shared" si="18"/>
        <v>0</v>
      </c>
      <c r="AA20" s="18">
        <f t="shared" si="18"/>
        <v>0</v>
      </c>
      <c r="AB20" s="18">
        <f t="shared" si="18"/>
        <v>0</v>
      </c>
      <c r="AC20" s="18">
        <f t="shared" si="18"/>
        <v>0</v>
      </c>
      <c r="AD20" s="99">
        <f t="shared" si="5"/>
        <v>0</v>
      </c>
      <c r="AE20" s="18">
        <f>$C$20*$D$20</f>
        <v>0</v>
      </c>
      <c r="AF20" s="18">
        <f t="shared" si="18"/>
        <v>0</v>
      </c>
      <c r="AG20" s="18">
        <f t="shared" si="18"/>
        <v>0</v>
      </c>
      <c r="AH20" s="18">
        <f t="shared" si="18"/>
        <v>0</v>
      </c>
      <c r="AI20" s="18">
        <f t="shared" si="18"/>
        <v>0</v>
      </c>
      <c r="AJ20" s="18">
        <f t="shared" si="18"/>
        <v>0</v>
      </c>
      <c r="AK20" s="18">
        <f t="shared" si="18"/>
        <v>0</v>
      </c>
      <c r="AL20" s="18">
        <f t="shared" si="18"/>
        <v>0</v>
      </c>
      <c r="AM20" s="18">
        <f t="shared" si="18"/>
        <v>0</v>
      </c>
      <c r="AN20" s="18">
        <f t="shared" si="18"/>
        <v>0</v>
      </c>
      <c r="AO20" s="18">
        <f t="shared" si="18"/>
        <v>0</v>
      </c>
      <c r="AP20" s="18">
        <f t="shared" si="18"/>
        <v>0</v>
      </c>
      <c r="AQ20" s="99">
        <f t="shared" si="6"/>
        <v>0</v>
      </c>
      <c r="AR20" s="18">
        <f>$C$20*$D$20</f>
        <v>0</v>
      </c>
      <c r="AS20" s="18">
        <f t="shared" si="18"/>
        <v>0</v>
      </c>
      <c r="AT20" s="18">
        <f t="shared" si="18"/>
        <v>0</v>
      </c>
      <c r="AU20" s="18">
        <f t="shared" si="18"/>
        <v>0</v>
      </c>
      <c r="AV20" s="18">
        <f t="shared" si="18"/>
        <v>0</v>
      </c>
      <c r="AW20" s="18">
        <f t="shared" si="18"/>
        <v>0</v>
      </c>
      <c r="AX20" s="18">
        <f t="shared" si="18"/>
        <v>0</v>
      </c>
      <c r="AY20" s="18">
        <f t="shared" si="18"/>
        <v>0</v>
      </c>
      <c r="AZ20" s="18">
        <f t="shared" si="18"/>
        <v>0</v>
      </c>
      <c r="BA20" s="18">
        <f t="shared" si="18"/>
        <v>0</v>
      </c>
      <c r="BB20" s="18">
        <f t="shared" si="18"/>
        <v>0</v>
      </c>
      <c r="BC20" s="18">
        <f t="shared" si="18"/>
        <v>0</v>
      </c>
      <c r="BD20" s="99">
        <f t="shared" si="7"/>
        <v>0</v>
      </c>
      <c r="BE20" s="18">
        <f>$C$20*$D$20</f>
        <v>0</v>
      </c>
      <c r="BF20" s="18">
        <f t="shared" si="18"/>
        <v>0</v>
      </c>
      <c r="BG20" s="18">
        <f t="shared" si="18"/>
        <v>0</v>
      </c>
      <c r="BH20" s="18">
        <f t="shared" si="18"/>
        <v>0</v>
      </c>
      <c r="BI20" s="18">
        <f t="shared" si="18"/>
        <v>0</v>
      </c>
      <c r="BJ20" s="18">
        <f t="shared" si="18"/>
        <v>0</v>
      </c>
      <c r="BK20" s="18">
        <f t="shared" si="18"/>
        <v>0</v>
      </c>
      <c r="BL20" s="18">
        <f t="shared" si="18"/>
        <v>0</v>
      </c>
      <c r="BM20" s="18">
        <f t="shared" si="18"/>
        <v>0</v>
      </c>
      <c r="BN20" s="18">
        <f t="shared" si="18"/>
        <v>0</v>
      </c>
      <c r="BO20" s="18">
        <f t="shared" si="18"/>
        <v>0</v>
      </c>
      <c r="BP20" s="18">
        <f t="shared" si="18"/>
        <v>0</v>
      </c>
      <c r="BQ20" s="99">
        <f t="shared" si="8"/>
        <v>0</v>
      </c>
    </row>
    <row r="21" spans="1:69" ht="129.6" x14ac:dyDescent="0.3">
      <c r="A21" s="1"/>
      <c r="B21" s="14" t="s">
        <v>486</v>
      </c>
      <c r="C21" s="133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99">
        <f t="shared" si="3"/>
        <v>0</v>
      </c>
      <c r="R21" s="18">
        <f t="shared" ref="R21:BP21" si="19">$C$21*$D$21</f>
        <v>0</v>
      </c>
      <c r="S21" s="18">
        <f t="shared" si="19"/>
        <v>0</v>
      </c>
      <c r="T21" s="18">
        <f t="shared" si="19"/>
        <v>0</v>
      </c>
      <c r="U21" s="18">
        <f t="shared" si="19"/>
        <v>0</v>
      </c>
      <c r="V21" s="18">
        <f t="shared" si="19"/>
        <v>0</v>
      </c>
      <c r="W21" s="18">
        <f t="shared" si="19"/>
        <v>0</v>
      </c>
      <c r="X21" s="18">
        <f t="shared" si="19"/>
        <v>0</v>
      </c>
      <c r="Y21" s="18">
        <f t="shared" si="19"/>
        <v>0</v>
      </c>
      <c r="Z21" s="18">
        <f t="shared" si="19"/>
        <v>0</v>
      </c>
      <c r="AA21" s="18">
        <f t="shared" si="19"/>
        <v>0</v>
      </c>
      <c r="AB21" s="18">
        <f t="shared" si="19"/>
        <v>0</v>
      </c>
      <c r="AC21" s="18">
        <f t="shared" si="19"/>
        <v>0</v>
      </c>
      <c r="AD21" s="99">
        <f t="shared" si="5"/>
        <v>0</v>
      </c>
      <c r="AE21" s="18">
        <f>$C$21*$D$21</f>
        <v>0</v>
      </c>
      <c r="AF21" s="18">
        <f t="shared" si="19"/>
        <v>0</v>
      </c>
      <c r="AG21" s="18">
        <f t="shared" si="19"/>
        <v>0</v>
      </c>
      <c r="AH21" s="18">
        <f t="shared" si="19"/>
        <v>0</v>
      </c>
      <c r="AI21" s="18">
        <f t="shared" si="19"/>
        <v>0</v>
      </c>
      <c r="AJ21" s="18">
        <f t="shared" si="19"/>
        <v>0</v>
      </c>
      <c r="AK21" s="18">
        <f t="shared" si="19"/>
        <v>0</v>
      </c>
      <c r="AL21" s="18">
        <f t="shared" si="19"/>
        <v>0</v>
      </c>
      <c r="AM21" s="18">
        <f t="shared" si="19"/>
        <v>0</v>
      </c>
      <c r="AN21" s="18">
        <f t="shared" si="19"/>
        <v>0</v>
      </c>
      <c r="AO21" s="18">
        <f t="shared" si="19"/>
        <v>0</v>
      </c>
      <c r="AP21" s="18">
        <f t="shared" si="19"/>
        <v>0</v>
      </c>
      <c r="AQ21" s="99">
        <f t="shared" si="6"/>
        <v>0</v>
      </c>
      <c r="AR21" s="18">
        <f>$C$21*$D$21</f>
        <v>0</v>
      </c>
      <c r="AS21" s="18">
        <f t="shared" si="19"/>
        <v>0</v>
      </c>
      <c r="AT21" s="18">
        <f t="shared" si="19"/>
        <v>0</v>
      </c>
      <c r="AU21" s="18">
        <f t="shared" si="19"/>
        <v>0</v>
      </c>
      <c r="AV21" s="18">
        <f t="shared" si="19"/>
        <v>0</v>
      </c>
      <c r="AW21" s="18">
        <f t="shared" si="19"/>
        <v>0</v>
      </c>
      <c r="AX21" s="18">
        <f t="shared" si="19"/>
        <v>0</v>
      </c>
      <c r="AY21" s="18">
        <f t="shared" si="19"/>
        <v>0</v>
      </c>
      <c r="AZ21" s="18">
        <f t="shared" si="19"/>
        <v>0</v>
      </c>
      <c r="BA21" s="18">
        <f t="shared" si="19"/>
        <v>0</v>
      </c>
      <c r="BB21" s="18">
        <f t="shared" si="19"/>
        <v>0</v>
      </c>
      <c r="BC21" s="18">
        <f t="shared" si="19"/>
        <v>0</v>
      </c>
      <c r="BD21" s="99">
        <f t="shared" si="7"/>
        <v>0</v>
      </c>
      <c r="BE21" s="18">
        <f>$C$21*$D$21</f>
        <v>0</v>
      </c>
      <c r="BF21" s="18">
        <f t="shared" si="19"/>
        <v>0</v>
      </c>
      <c r="BG21" s="18">
        <f t="shared" si="19"/>
        <v>0</v>
      </c>
      <c r="BH21" s="18">
        <f t="shared" si="19"/>
        <v>0</v>
      </c>
      <c r="BI21" s="18">
        <f t="shared" si="19"/>
        <v>0</v>
      </c>
      <c r="BJ21" s="18">
        <f t="shared" si="19"/>
        <v>0</v>
      </c>
      <c r="BK21" s="18">
        <f t="shared" si="19"/>
        <v>0</v>
      </c>
      <c r="BL21" s="18">
        <f t="shared" si="19"/>
        <v>0</v>
      </c>
      <c r="BM21" s="18">
        <f t="shared" si="19"/>
        <v>0</v>
      </c>
      <c r="BN21" s="18">
        <f t="shared" si="19"/>
        <v>0</v>
      </c>
      <c r="BO21" s="18">
        <f t="shared" si="19"/>
        <v>0</v>
      </c>
      <c r="BP21" s="18">
        <f t="shared" si="19"/>
        <v>0</v>
      </c>
      <c r="BQ21" s="99">
        <f t="shared" si="8"/>
        <v>0</v>
      </c>
    </row>
    <row r="22" spans="1:69" ht="72" x14ac:dyDescent="0.3">
      <c r="A22" s="1"/>
      <c r="B22" s="14" t="s">
        <v>487</v>
      </c>
      <c r="C22" s="133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99">
        <f t="shared" si="3"/>
        <v>0</v>
      </c>
      <c r="R22" s="18">
        <f t="shared" ref="R22:BP22" si="20">$C$22*$D$22</f>
        <v>0</v>
      </c>
      <c r="S22" s="18">
        <f t="shared" si="20"/>
        <v>0</v>
      </c>
      <c r="T22" s="18">
        <f t="shared" si="20"/>
        <v>0</v>
      </c>
      <c r="U22" s="18">
        <f t="shared" si="20"/>
        <v>0</v>
      </c>
      <c r="V22" s="18">
        <f t="shared" si="20"/>
        <v>0</v>
      </c>
      <c r="W22" s="18">
        <f t="shared" si="20"/>
        <v>0</v>
      </c>
      <c r="X22" s="18">
        <f t="shared" si="20"/>
        <v>0</v>
      </c>
      <c r="Y22" s="18">
        <f t="shared" si="20"/>
        <v>0</v>
      </c>
      <c r="Z22" s="18">
        <f t="shared" si="20"/>
        <v>0</v>
      </c>
      <c r="AA22" s="18">
        <f t="shared" si="20"/>
        <v>0</v>
      </c>
      <c r="AB22" s="18">
        <f t="shared" si="20"/>
        <v>0</v>
      </c>
      <c r="AC22" s="18">
        <f t="shared" si="20"/>
        <v>0</v>
      </c>
      <c r="AD22" s="99">
        <f t="shared" si="5"/>
        <v>0</v>
      </c>
      <c r="AE22" s="18">
        <f>$C$22*$D$22</f>
        <v>0</v>
      </c>
      <c r="AF22" s="18">
        <f t="shared" si="20"/>
        <v>0</v>
      </c>
      <c r="AG22" s="18">
        <f t="shared" si="20"/>
        <v>0</v>
      </c>
      <c r="AH22" s="18">
        <f t="shared" si="20"/>
        <v>0</v>
      </c>
      <c r="AI22" s="18">
        <f t="shared" si="20"/>
        <v>0</v>
      </c>
      <c r="AJ22" s="18">
        <f t="shared" si="20"/>
        <v>0</v>
      </c>
      <c r="AK22" s="18">
        <f t="shared" si="20"/>
        <v>0</v>
      </c>
      <c r="AL22" s="18">
        <f t="shared" si="20"/>
        <v>0</v>
      </c>
      <c r="AM22" s="18">
        <f t="shared" si="20"/>
        <v>0</v>
      </c>
      <c r="AN22" s="18">
        <f t="shared" si="20"/>
        <v>0</v>
      </c>
      <c r="AO22" s="18">
        <f t="shared" si="20"/>
        <v>0</v>
      </c>
      <c r="AP22" s="18">
        <f t="shared" si="20"/>
        <v>0</v>
      </c>
      <c r="AQ22" s="99">
        <f t="shared" si="6"/>
        <v>0</v>
      </c>
      <c r="AR22" s="18">
        <f>$C$22*$D$22</f>
        <v>0</v>
      </c>
      <c r="AS22" s="18">
        <f t="shared" si="20"/>
        <v>0</v>
      </c>
      <c r="AT22" s="18">
        <f t="shared" si="20"/>
        <v>0</v>
      </c>
      <c r="AU22" s="18">
        <f t="shared" si="20"/>
        <v>0</v>
      </c>
      <c r="AV22" s="18">
        <f t="shared" si="20"/>
        <v>0</v>
      </c>
      <c r="AW22" s="18">
        <f t="shared" si="20"/>
        <v>0</v>
      </c>
      <c r="AX22" s="18">
        <f t="shared" si="20"/>
        <v>0</v>
      </c>
      <c r="AY22" s="18">
        <f t="shared" si="20"/>
        <v>0</v>
      </c>
      <c r="AZ22" s="18">
        <f t="shared" si="20"/>
        <v>0</v>
      </c>
      <c r="BA22" s="18">
        <f t="shared" si="20"/>
        <v>0</v>
      </c>
      <c r="BB22" s="18">
        <f t="shared" si="20"/>
        <v>0</v>
      </c>
      <c r="BC22" s="18">
        <f t="shared" si="20"/>
        <v>0</v>
      </c>
      <c r="BD22" s="99">
        <f t="shared" si="7"/>
        <v>0</v>
      </c>
      <c r="BE22" s="18">
        <f>$C$22*$D$22</f>
        <v>0</v>
      </c>
      <c r="BF22" s="18">
        <f t="shared" si="20"/>
        <v>0</v>
      </c>
      <c r="BG22" s="18">
        <f t="shared" si="20"/>
        <v>0</v>
      </c>
      <c r="BH22" s="18">
        <f t="shared" si="20"/>
        <v>0</v>
      </c>
      <c r="BI22" s="18">
        <f t="shared" si="20"/>
        <v>0</v>
      </c>
      <c r="BJ22" s="18">
        <f t="shared" si="20"/>
        <v>0</v>
      </c>
      <c r="BK22" s="18">
        <f t="shared" si="20"/>
        <v>0</v>
      </c>
      <c r="BL22" s="18">
        <f t="shared" si="20"/>
        <v>0</v>
      </c>
      <c r="BM22" s="18">
        <f t="shared" si="20"/>
        <v>0</v>
      </c>
      <c r="BN22" s="18">
        <f t="shared" si="20"/>
        <v>0</v>
      </c>
      <c r="BO22" s="18">
        <f t="shared" si="20"/>
        <v>0</v>
      </c>
      <c r="BP22" s="18">
        <f t="shared" si="20"/>
        <v>0</v>
      </c>
      <c r="BQ22" s="99">
        <f t="shared" si="8"/>
        <v>0</v>
      </c>
    </row>
    <row r="23" spans="1:69" ht="86.4" x14ac:dyDescent="0.3">
      <c r="A23" s="1"/>
      <c r="B23" s="14" t="s">
        <v>488</v>
      </c>
      <c r="C23" s="133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99">
        <f t="shared" si="3"/>
        <v>0</v>
      </c>
      <c r="R23" s="18">
        <f t="shared" ref="R23:BP23" si="21">$C$23*$D$23</f>
        <v>0</v>
      </c>
      <c r="S23" s="18">
        <f t="shared" si="21"/>
        <v>0</v>
      </c>
      <c r="T23" s="18">
        <f t="shared" si="21"/>
        <v>0</v>
      </c>
      <c r="U23" s="18">
        <f t="shared" si="21"/>
        <v>0</v>
      </c>
      <c r="V23" s="18">
        <f t="shared" si="21"/>
        <v>0</v>
      </c>
      <c r="W23" s="18">
        <f t="shared" si="21"/>
        <v>0</v>
      </c>
      <c r="X23" s="18">
        <f t="shared" si="21"/>
        <v>0</v>
      </c>
      <c r="Y23" s="18">
        <f t="shared" si="21"/>
        <v>0</v>
      </c>
      <c r="Z23" s="18">
        <f t="shared" si="21"/>
        <v>0</v>
      </c>
      <c r="AA23" s="18">
        <f t="shared" si="21"/>
        <v>0</v>
      </c>
      <c r="AB23" s="18">
        <f t="shared" si="21"/>
        <v>0</v>
      </c>
      <c r="AC23" s="18">
        <f t="shared" si="21"/>
        <v>0</v>
      </c>
      <c r="AD23" s="99">
        <f t="shared" si="5"/>
        <v>0</v>
      </c>
      <c r="AE23" s="18">
        <f>$C$23*$D$23</f>
        <v>0</v>
      </c>
      <c r="AF23" s="18">
        <f t="shared" si="21"/>
        <v>0</v>
      </c>
      <c r="AG23" s="18">
        <f t="shared" si="21"/>
        <v>0</v>
      </c>
      <c r="AH23" s="18">
        <f t="shared" si="21"/>
        <v>0</v>
      </c>
      <c r="AI23" s="18">
        <f t="shared" si="21"/>
        <v>0</v>
      </c>
      <c r="AJ23" s="18">
        <f t="shared" si="21"/>
        <v>0</v>
      </c>
      <c r="AK23" s="18">
        <f t="shared" si="21"/>
        <v>0</v>
      </c>
      <c r="AL23" s="18">
        <f t="shared" si="21"/>
        <v>0</v>
      </c>
      <c r="AM23" s="18">
        <f t="shared" si="21"/>
        <v>0</v>
      </c>
      <c r="AN23" s="18">
        <f t="shared" si="21"/>
        <v>0</v>
      </c>
      <c r="AO23" s="18">
        <f t="shared" si="21"/>
        <v>0</v>
      </c>
      <c r="AP23" s="18">
        <f t="shared" si="21"/>
        <v>0</v>
      </c>
      <c r="AQ23" s="99">
        <f t="shared" si="6"/>
        <v>0</v>
      </c>
      <c r="AR23" s="18">
        <f>$C$23*$D$23</f>
        <v>0</v>
      </c>
      <c r="AS23" s="18">
        <f t="shared" si="21"/>
        <v>0</v>
      </c>
      <c r="AT23" s="18">
        <f t="shared" si="21"/>
        <v>0</v>
      </c>
      <c r="AU23" s="18">
        <f t="shared" si="21"/>
        <v>0</v>
      </c>
      <c r="AV23" s="18">
        <f t="shared" si="21"/>
        <v>0</v>
      </c>
      <c r="AW23" s="18">
        <f t="shared" si="21"/>
        <v>0</v>
      </c>
      <c r="AX23" s="18">
        <f t="shared" si="21"/>
        <v>0</v>
      </c>
      <c r="AY23" s="18">
        <f t="shared" si="21"/>
        <v>0</v>
      </c>
      <c r="AZ23" s="18">
        <f t="shared" si="21"/>
        <v>0</v>
      </c>
      <c r="BA23" s="18">
        <f t="shared" si="21"/>
        <v>0</v>
      </c>
      <c r="BB23" s="18">
        <f t="shared" si="21"/>
        <v>0</v>
      </c>
      <c r="BC23" s="18">
        <f t="shared" si="21"/>
        <v>0</v>
      </c>
      <c r="BD23" s="99">
        <f t="shared" si="7"/>
        <v>0</v>
      </c>
      <c r="BE23" s="18">
        <f>$C$23*$D$23</f>
        <v>0</v>
      </c>
      <c r="BF23" s="18">
        <f t="shared" si="21"/>
        <v>0</v>
      </c>
      <c r="BG23" s="18">
        <f t="shared" si="21"/>
        <v>0</v>
      </c>
      <c r="BH23" s="18">
        <f t="shared" si="21"/>
        <v>0</v>
      </c>
      <c r="BI23" s="18">
        <f t="shared" si="21"/>
        <v>0</v>
      </c>
      <c r="BJ23" s="18">
        <f t="shared" si="21"/>
        <v>0</v>
      </c>
      <c r="BK23" s="18">
        <f t="shared" si="21"/>
        <v>0</v>
      </c>
      <c r="BL23" s="18">
        <f t="shared" si="21"/>
        <v>0</v>
      </c>
      <c r="BM23" s="18">
        <f t="shared" si="21"/>
        <v>0</v>
      </c>
      <c r="BN23" s="18">
        <f t="shared" si="21"/>
        <v>0</v>
      </c>
      <c r="BO23" s="18">
        <f t="shared" si="21"/>
        <v>0</v>
      </c>
      <c r="BP23" s="18">
        <f t="shared" si="21"/>
        <v>0</v>
      </c>
      <c r="BQ23" s="99">
        <f t="shared" si="8"/>
        <v>0</v>
      </c>
    </row>
    <row r="24" spans="1:69" ht="86.4" x14ac:dyDescent="0.3">
      <c r="A24" s="1"/>
      <c r="B24" s="14" t="s">
        <v>489</v>
      </c>
      <c r="C24" s="133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99">
        <f t="shared" si="3"/>
        <v>0</v>
      </c>
      <c r="R24" s="18">
        <f t="shared" ref="R24:BP24" si="22">$C$24*$D$24</f>
        <v>0</v>
      </c>
      <c r="S24" s="18">
        <f t="shared" si="22"/>
        <v>0</v>
      </c>
      <c r="T24" s="18">
        <f t="shared" si="22"/>
        <v>0</v>
      </c>
      <c r="U24" s="18">
        <f t="shared" si="22"/>
        <v>0</v>
      </c>
      <c r="V24" s="18">
        <f t="shared" si="22"/>
        <v>0</v>
      </c>
      <c r="W24" s="18">
        <f t="shared" si="22"/>
        <v>0</v>
      </c>
      <c r="X24" s="18">
        <f t="shared" si="22"/>
        <v>0</v>
      </c>
      <c r="Y24" s="18">
        <f t="shared" si="22"/>
        <v>0</v>
      </c>
      <c r="Z24" s="18">
        <f t="shared" si="22"/>
        <v>0</v>
      </c>
      <c r="AA24" s="18">
        <f t="shared" si="22"/>
        <v>0</v>
      </c>
      <c r="AB24" s="18">
        <f t="shared" si="22"/>
        <v>0</v>
      </c>
      <c r="AC24" s="18">
        <f t="shared" si="22"/>
        <v>0</v>
      </c>
      <c r="AD24" s="99">
        <f t="shared" si="5"/>
        <v>0</v>
      </c>
      <c r="AE24" s="18">
        <f>$C$24*$D$24</f>
        <v>0</v>
      </c>
      <c r="AF24" s="18">
        <f t="shared" si="22"/>
        <v>0</v>
      </c>
      <c r="AG24" s="18">
        <f t="shared" si="22"/>
        <v>0</v>
      </c>
      <c r="AH24" s="18">
        <f t="shared" si="22"/>
        <v>0</v>
      </c>
      <c r="AI24" s="18">
        <f t="shared" si="22"/>
        <v>0</v>
      </c>
      <c r="AJ24" s="18">
        <f t="shared" si="22"/>
        <v>0</v>
      </c>
      <c r="AK24" s="18">
        <f t="shared" si="22"/>
        <v>0</v>
      </c>
      <c r="AL24" s="18">
        <f t="shared" si="22"/>
        <v>0</v>
      </c>
      <c r="AM24" s="18">
        <f t="shared" si="22"/>
        <v>0</v>
      </c>
      <c r="AN24" s="18">
        <f t="shared" si="22"/>
        <v>0</v>
      </c>
      <c r="AO24" s="18">
        <f t="shared" si="22"/>
        <v>0</v>
      </c>
      <c r="AP24" s="18">
        <f t="shared" si="22"/>
        <v>0</v>
      </c>
      <c r="AQ24" s="99">
        <f t="shared" si="6"/>
        <v>0</v>
      </c>
      <c r="AR24" s="18">
        <f>$C$24*$D$24</f>
        <v>0</v>
      </c>
      <c r="AS24" s="18">
        <f t="shared" si="22"/>
        <v>0</v>
      </c>
      <c r="AT24" s="18">
        <f t="shared" si="22"/>
        <v>0</v>
      </c>
      <c r="AU24" s="18">
        <f t="shared" si="22"/>
        <v>0</v>
      </c>
      <c r="AV24" s="18">
        <f t="shared" si="22"/>
        <v>0</v>
      </c>
      <c r="AW24" s="18">
        <f t="shared" si="22"/>
        <v>0</v>
      </c>
      <c r="AX24" s="18">
        <f t="shared" si="22"/>
        <v>0</v>
      </c>
      <c r="AY24" s="18">
        <f t="shared" si="22"/>
        <v>0</v>
      </c>
      <c r="AZ24" s="18">
        <f t="shared" si="22"/>
        <v>0</v>
      </c>
      <c r="BA24" s="18">
        <f t="shared" si="22"/>
        <v>0</v>
      </c>
      <c r="BB24" s="18">
        <f t="shared" si="22"/>
        <v>0</v>
      </c>
      <c r="BC24" s="18">
        <f t="shared" si="22"/>
        <v>0</v>
      </c>
      <c r="BD24" s="99">
        <f t="shared" si="7"/>
        <v>0</v>
      </c>
      <c r="BE24" s="18">
        <f>$C$24*$D$24</f>
        <v>0</v>
      </c>
      <c r="BF24" s="18">
        <f t="shared" si="22"/>
        <v>0</v>
      </c>
      <c r="BG24" s="18">
        <f t="shared" si="22"/>
        <v>0</v>
      </c>
      <c r="BH24" s="18">
        <f t="shared" si="22"/>
        <v>0</v>
      </c>
      <c r="BI24" s="18">
        <f t="shared" si="22"/>
        <v>0</v>
      </c>
      <c r="BJ24" s="18">
        <f t="shared" si="22"/>
        <v>0</v>
      </c>
      <c r="BK24" s="18">
        <f t="shared" si="22"/>
        <v>0</v>
      </c>
      <c r="BL24" s="18">
        <f t="shared" si="22"/>
        <v>0</v>
      </c>
      <c r="BM24" s="18">
        <f t="shared" si="22"/>
        <v>0</v>
      </c>
      <c r="BN24" s="18">
        <f t="shared" si="22"/>
        <v>0</v>
      </c>
      <c r="BO24" s="18">
        <f t="shared" si="22"/>
        <v>0</v>
      </c>
      <c r="BP24" s="18">
        <f t="shared" si="22"/>
        <v>0</v>
      </c>
      <c r="BQ24" s="99">
        <f t="shared" si="8"/>
        <v>0</v>
      </c>
    </row>
    <row r="25" spans="1:69" ht="86.4" x14ac:dyDescent="0.3">
      <c r="A25" s="1"/>
      <c r="B25" s="14" t="s">
        <v>490</v>
      </c>
      <c r="C25" s="133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99">
        <f t="shared" si="3"/>
        <v>0</v>
      </c>
      <c r="R25" s="18">
        <f t="shared" ref="R25:BP25" si="23">$C$25*$D$25</f>
        <v>0</v>
      </c>
      <c r="S25" s="18">
        <f t="shared" si="23"/>
        <v>0</v>
      </c>
      <c r="T25" s="18">
        <f t="shared" si="23"/>
        <v>0</v>
      </c>
      <c r="U25" s="18">
        <f t="shared" si="23"/>
        <v>0</v>
      </c>
      <c r="V25" s="18">
        <f t="shared" si="23"/>
        <v>0</v>
      </c>
      <c r="W25" s="18">
        <f t="shared" si="23"/>
        <v>0</v>
      </c>
      <c r="X25" s="18">
        <f t="shared" si="23"/>
        <v>0</v>
      </c>
      <c r="Y25" s="18">
        <f t="shared" si="23"/>
        <v>0</v>
      </c>
      <c r="Z25" s="18">
        <f t="shared" si="23"/>
        <v>0</v>
      </c>
      <c r="AA25" s="18">
        <f t="shared" si="23"/>
        <v>0</v>
      </c>
      <c r="AB25" s="18">
        <f t="shared" si="23"/>
        <v>0</v>
      </c>
      <c r="AC25" s="18">
        <f t="shared" si="23"/>
        <v>0</v>
      </c>
      <c r="AD25" s="99">
        <f t="shared" si="5"/>
        <v>0</v>
      </c>
      <c r="AE25" s="18">
        <f>$C$25*$D$25</f>
        <v>0</v>
      </c>
      <c r="AF25" s="18">
        <f t="shared" si="23"/>
        <v>0</v>
      </c>
      <c r="AG25" s="18">
        <f t="shared" si="23"/>
        <v>0</v>
      </c>
      <c r="AH25" s="18">
        <f t="shared" si="23"/>
        <v>0</v>
      </c>
      <c r="AI25" s="18">
        <f t="shared" si="23"/>
        <v>0</v>
      </c>
      <c r="AJ25" s="18">
        <f t="shared" si="23"/>
        <v>0</v>
      </c>
      <c r="AK25" s="18">
        <f t="shared" si="23"/>
        <v>0</v>
      </c>
      <c r="AL25" s="18">
        <f t="shared" si="23"/>
        <v>0</v>
      </c>
      <c r="AM25" s="18">
        <f t="shared" si="23"/>
        <v>0</v>
      </c>
      <c r="AN25" s="18">
        <f t="shared" si="23"/>
        <v>0</v>
      </c>
      <c r="AO25" s="18">
        <f t="shared" si="23"/>
        <v>0</v>
      </c>
      <c r="AP25" s="18">
        <f t="shared" si="23"/>
        <v>0</v>
      </c>
      <c r="AQ25" s="99">
        <f t="shared" si="6"/>
        <v>0</v>
      </c>
      <c r="AR25" s="18">
        <f>$C$25*$D$25</f>
        <v>0</v>
      </c>
      <c r="AS25" s="18">
        <f t="shared" si="23"/>
        <v>0</v>
      </c>
      <c r="AT25" s="18">
        <f t="shared" si="23"/>
        <v>0</v>
      </c>
      <c r="AU25" s="18">
        <f t="shared" si="23"/>
        <v>0</v>
      </c>
      <c r="AV25" s="18">
        <f t="shared" si="23"/>
        <v>0</v>
      </c>
      <c r="AW25" s="18">
        <f t="shared" si="23"/>
        <v>0</v>
      </c>
      <c r="AX25" s="18">
        <f t="shared" si="23"/>
        <v>0</v>
      </c>
      <c r="AY25" s="18">
        <f t="shared" si="23"/>
        <v>0</v>
      </c>
      <c r="AZ25" s="18">
        <f t="shared" si="23"/>
        <v>0</v>
      </c>
      <c r="BA25" s="18">
        <f t="shared" si="23"/>
        <v>0</v>
      </c>
      <c r="BB25" s="18">
        <f t="shared" si="23"/>
        <v>0</v>
      </c>
      <c r="BC25" s="18">
        <f t="shared" si="23"/>
        <v>0</v>
      </c>
      <c r="BD25" s="99">
        <f t="shared" si="7"/>
        <v>0</v>
      </c>
      <c r="BE25" s="18">
        <f>$C$25*$D$25</f>
        <v>0</v>
      </c>
      <c r="BF25" s="18">
        <f t="shared" si="23"/>
        <v>0</v>
      </c>
      <c r="BG25" s="18">
        <f t="shared" si="23"/>
        <v>0</v>
      </c>
      <c r="BH25" s="18">
        <f t="shared" si="23"/>
        <v>0</v>
      </c>
      <c r="BI25" s="18">
        <f t="shared" si="23"/>
        <v>0</v>
      </c>
      <c r="BJ25" s="18">
        <f t="shared" si="23"/>
        <v>0</v>
      </c>
      <c r="BK25" s="18">
        <f t="shared" si="23"/>
        <v>0</v>
      </c>
      <c r="BL25" s="18">
        <f t="shared" si="23"/>
        <v>0</v>
      </c>
      <c r="BM25" s="18">
        <f t="shared" si="23"/>
        <v>0</v>
      </c>
      <c r="BN25" s="18">
        <f t="shared" si="23"/>
        <v>0</v>
      </c>
      <c r="BO25" s="18">
        <f t="shared" si="23"/>
        <v>0</v>
      </c>
      <c r="BP25" s="18">
        <f t="shared" si="23"/>
        <v>0</v>
      </c>
      <c r="BQ25" s="99">
        <f t="shared" si="8"/>
        <v>0</v>
      </c>
    </row>
    <row r="26" spans="1:69" ht="86.4" x14ac:dyDescent="0.3">
      <c r="A26" s="1"/>
      <c r="B26" s="14" t="s">
        <v>491</v>
      </c>
      <c r="C26" s="133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99">
        <f t="shared" si="3"/>
        <v>0</v>
      </c>
      <c r="R26" s="18">
        <f t="shared" ref="R26:BP26" si="24">$C$26*$D$26</f>
        <v>0</v>
      </c>
      <c r="S26" s="18">
        <f t="shared" si="24"/>
        <v>0</v>
      </c>
      <c r="T26" s="18">
        <f t="shared" si="24"/>
        <v>0</v>
      </c>
      <c r="U26" s="18">
        <f t="shared" si="24"/>
        <v>0</v>
      </c>
      <c r="V26" s="18">
        <f t="shared" si="24"/>
        <v>0</v>
      </c>
      <c r="W26" s="18">
        <f t="shared" si="24"/>
        <v>0</v>
      </c>
      <c r="X26" s="18">
        <f t="shared" si="24"/>
        <v>0</v>
      </c>
      <c r="Y26" s="18">
        <f t="shared" si="24"/>
        <v>0</v>
      </c>
      <c r="Z26" s="18">
        <f t="shared" si="24"/>
        <v>0</v>
      </c>
      <c r="AA26" s="18">
        <f t="shared" si="24"/>
        <v>0</v>
      </c>
      <c r="AB26" s="18">
        <f t="shared" si="24"/>
        <v>0</v>
      </c>
      <c r="AC26" s="18">
        <f t="shared" si="24"/>
        <v>0</v>
      </c>
      <c r="AD26" s="99">
        <f t="shared" si="5"/>
        <v>0</v>
      </c>
      <c r="AE26" s="18">
        <f>$C$26*$D$26</f>
        <v>0</v>
      </c>
      <c r="AF26" s="18">
        <f t="shared" si="24"/>
        <v>0</v>
      </c>
      <c r="AG26" s="18">
        <f t="shared" si="24"/>
        <v>0</v>
      </c>
      <c r="AH26" s="18">
        <f t="shared" si="24"/>
        <v>0</v>
      </c>
      <c r="AI26" s="18">
        <f t="shared" si="24"/>
        <v>0</v>
      </c>
      <c r="AJ26" s="18">
        <f t="shared" si="24"/>
        <v>0</v>
      </c>
      <c r="AK26" s="18">
        <f t="shared" si="24"/>
        <v>0</v>
      </c>
      <c r="AL26" s="18">
        <f t="shared" si="24"/>
        <v>0</v>
      </c>
      <c r="AM26" s="18">
        <f t="shared" si="24"/>
        <v>0</v>
      </c>
      <c r="AN26" s="18">
        <f t="shared" si="24"/>
        <v>0</v>
      </c>
      <c r="AO26" s="18">
        <f t="shared" si="24"/>
        <v>0</v>
      </c>
      <c r="AP26" s="18">
        <f t="shared" si="24"/>
        <v>0</v>
      </c>
      <c r="AQ26" s="99">
        <f t="shared" si="6"/>
        <v>0</v>
      </c>
      <c r="AR26" s="18">
        <f>$C$26*$D$26</f>
        <v>0</v>
      </c>
      <c r="AS26" s="18">
        <f t="shared" si="24"/>
        <v>0</v>
      </c>
      <c r="AT26" s="18">
        <f t="shared" si="24"/>
        <v>0</v>
      </c>
      <c r="AU26" s="18">
        <f t="shared" si="24"/>
        <v>0</v>
      </c>
      <c r="AV26" s="18">
        <f t="shared" si="24"/>
        <v>0</v>
      </c>
      <c r="AW26" s="18">
        <f t="shared" si="24"/>
        <v>0</v>
      </c>
      <c r="AX26" s="18">
        <f t="shared" si="24"/>
        <v>0</v>
      </c>
      <c r="AY26" s="18">
        <f t="shared" si="24"/>
        <v>0</v>
      </c>
      <c r="AZ26" s="18">
        <f t="shared" si="24"/>
        <v>0</v>
      </c>
      <c r="BA26" s="18">
        <f t="shared" si="24"/>
        <v>0</v>
      </c>
      <c r="BB26" s="18">
        <f t="shared" si="24"/>
        <v>0</v>
      </c>
      <c r="BC26" s="18">
        <f t="shared" si="24"/>
        <v>0</v>
      </c>
      <c r="BD26" s="99">
        <f t="shared" si="7"/>
        <v>0</v>
      </c>
      <c r="BE26" s="18">
        <f>$C$26*$D$26</f>
        <v>0</v>
      </c>
      <c r="BF26" s="18">
        <f t="shared" si="24"/>
        <v>0</v>
      </c>
      <c r="BG26" s="18">
        <f t="shared" si="24"/>
        <v>0</v>
      </c>
      <c r="BH26" s="18">
        <f t="shared" si="24"/>
        <v>0</v>
      </c>
      <c r="BI26" s="18">
        <f t="shared" si="24"/>
        <v>0</v>
      </c>
      <c r="BJ26" s="18">
        <f t="shared" si="24"/>
        <v>0</v>
      </c>
      <c r="BK26" s="18">
        <f t="shared" si="24"/>
        <v>0</v>
      </c>
      <c r="BL26" s="18">
        <f t="shared" si="24"/>
        <v>0</v>
      </c>
      <c r="BM26" s="18">
        <f t="shared" si="24"/>
        <v>0</v>
      </c>
      <c r="BN26" s="18">
        <f t="shared" si="24"/>
        <v>0</v>
      </c>
      <c r="BO26" s="18">
        <f t="shared" si="24"/>
        <v>0</v>
      </c>
      <c r="BP26" s="18">
        <f t="shared" si="24"/>
        <v>0</v>
      </c>
      <c r="BQ26" s="99">
        <f t="shared" si="8"/>
        <v>0</v>
      </c>
    </row>
    <row r="27" spans="1:69" ht="57.6" x14ac:dyDescent="0.3">
      <c r="A27" s="1"/>
      <c r="B27" s="14" t="s">
        <v>482</v>
      </c>
      <c r="C27" s="133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99">
        <f t="shared" si="3"/>
        <v>0</v>
      </c>
      <c r="R27" s="18">
        <f t="shared" ref="R27:BP27" si="25">$C$27*$D$27</f>
        <v>0</v>
      </c>
      <c r="S27" s="18">
        <f t="shared" si="25"/>
        <v>0</v>
      </c>
      <c r="T27" s="18">
        <f t="shared" si="25"/>
        <v>0</v>
      </c>
      <c r="U27" s="18">
        <f t="shared" si="25"/>
        <v>0</v>
      </c>
      <c r="V27" s="18">
        <f t="shared" si="25"/>
        <v>0</v>
      </c>
      <c r="W27" s="18">
        <f t="shared" si="25"/>
        <v>0</v>
      </c>
      <c r="X27" s="18">
        <f t="shared" si="25"/>
        <v>0</v>
      </c>
      <c r="Y27" s="18">
        <f t="shared" si="25"/>
        <v>0</v>
      </c>
      <c r="Z27" s="18">
        <f t="shared" si="25"/>
        <v>0</v>
      </c>
      <c r="AA27" s="18">
        <f t="shared" si="25"/>
        <v>0</v>
      </c>
      <c r="AB27" s="18">
        <f t="shared" si="25"/>
        <v>0</v>
      </c>
      <c r="AC27" s="18">
        <f t="shared" si="25"/>
        <v>0</v>
      </c>
      <c r="AD27" s="99">
        <f t="shared" si="5"/>
        <v>0</v>
      </c>
      <c r="AE27" s="18">
        <f>$C$27*$D$27</f>
        <v>0</v>
      </c>
      <c r="AF27" s="18">
        <f t="shared" si="25"/>
        <v>0</v>
      </c>
      <c r="AG27" s="18">
        <f t="shared" si="25"/>
        <v>0</v>
      </c>
      <c r="AH27" s="18">
        <f t="shared" si="25"/>
        <v>0</v>
      </c>
      <c r="AI27" s="18">
        <f t="shared" si="25"/>
        <v>0</v>
      </c>
      <c r="AJ27" s="18">
        <f t="shared" si="25"/>
        <v>0</v>
      </c>
      <c r="AK27" s="18">
        <f t="shared" si="25"/>
        <v>0</v>
      </c>
      <c r="AL27" s="18">
        <f t="shared" si="25"/>
        <v>0</v>
      </c>
      <c r="AM27" s="18">
        <f t="shared" si="25"/>
        <v>0</v>
      </c>
      <c r="AN27" s="18">
        <f t="shared" si="25"/>
        <v>0</v>
      </c>
      <c r="AO27" s="18">
        <f t="shared" si="25"/>
        <v>0</v>
      </c>
      <c r="AP27" s="18">
        <f t="shared" si="25"/>
        <v>0</v>
      </c>
      <c r="AQ27" s="99">
        <f t="shared" si="6"/>
        <v>0</v>
      </c>
      <c r="AR27" s="18">
        <f>$C$27*$D$27</f>
        <v>0</v>
      </c>
      <c r="AS27" s="18">
        <f t="shared" si="25"/>
        <v>0</v>
      </c>
      <c r="AT27" s="18">
        <f t="shared" si="25"/>
        <v>0</v>
      </c>
      <c r="AU27" s="18">
        <f t="shared" si="25"/>
        <v>0</v>
      </c>
      <c r="AV27" s="18">
        <f t="shared" si="25"/>
        <v>0</v>
      </c>
      <c r="AW27" s="18">
        <f t="shared" si="25"/>
        <v>0</v>
      </c>
      <c r="AX27" s="18">
        <f t="shared" si="25"/>
        <v>0</v>
      </c>
      <c r="AY27" s="18">
        <f t="shared" si="25"/>
        <v>0</v>
      </c>
      <c r="AZ27" s="18">
        <f t="shared" si="25"/>
        <v>0</v>
      </c>
      <c r="BA27" s="18">
        <f t="shared" si="25"/>
        <v>0</v>
      </c>
      <c r="BB27" s="18">
        <f t="shared" si="25"/>
        <v>0</v>
      </c>
      <c r="BC27" s="18">
        <f t="shared" si="25"/>
        <v>0</v>
      </c>
      <c r="BD27" s="99">
        <f t="shared" si="7"/>
        <v>0</v>
      </c>
      <c r="BE27" s="18">
        <f>$C$27*$D$27</f>
        <v>0</v>
      </c>
      <c r="BF27" s="18">
        <f t="shared" si="25"/>
        <v>0</v>
      </c>
      <c r="BG27" s="18">
        <f t="shared" si="25"/>
        <v>0</v>
      </c>
      <c r="BH27" s="18">
        <f t="shared" si="25"/>
        <v>0</v>
      </c>
      <c r="BI27" s="18">
        <f t="shared" si="25"/>
        <v>0</v>
      </c>
      <c r="BJ27" s="18">
        <f t="shared" si="25"/>
        <v>0</v>
      </c>
      <c r="BK27" s="18">
        <f t="shared" si="25"/>
        <v>0</v>
      </c>
      <c r="BL27" s="18">
        <f t="shared" si="25"/>
        <v>0</v>
      </c>
      <c r="BM27" s="18">
        <f t="shared" si="25"/>
        <v>0</v>
      </c>
      <c r="BN27" s="18">
        <f t="shared" si="25"/>
        <v>0</v>
      </c>
      <c r="BO27" s="18">
        <f t="shared" si="25"/>
        <v>0</v>
      </c>
      <c r="BP27" s="18">
        <f t="shared" si="25"/>
        <v>0</v>
      </c>
      <c r="BQ27" s="99">
        <f t="shared" si="8"/>
        <v>0</v>
      </c>
    </row>
    <row r="28" spans="1:69" ht="115.2" x14ac:dyDescent="0.3">
      <c r="A28" s="1"/>
      <c r="B28" s="14" t="s">
        <v>492</v>
      </c>
      <c r="C28" s="133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99">
        <f t="shared" si="3"/>
        <v>0</v>
      </c>
      <c r="R28" s="18">
        <f t="shared" ref="R28:BP28" si="26">$C$28*$D$28</f>
        <v>0</v>
      </c>
      <c r="S28" s="18">
        <f t="shared" si="26"/>
        <v>0</v>
      </c>
      <c r="T28" s="18">
        <f t="shared" si="26"/>
        <v>0</v>
      </c>
      <c r="U28" s="18">
        <f t="shared" si="26"/>
        <v>0</v>
      </c>
      <c r="V28" s="18">
        <f t="shared" si="26"/>
        <v>0</v>
      </c>
      <c r="W28" s="18">
        <f t="shared" si="26"/>
        <v>0</v>
      </c>
      <c r="X28" s="18">
        <f t="shared" si="26"/>
        <v>0</v>
      </c>
      <c r="Y28" s="18">
        <f t="shared" si="26"/>
        <v>0</v>
      </c>
      <c r="Z28" s="18">
        <f t="shared" si="26"/>
        <v>0</v>
      </c>
      <c r="AA28" s="18">
        <f t="shared" si="26"/>
        <v>0</v>
      </c>
      <c r="AB28" s="18">
        <f t="shared" si="26"/>
        <v>0</v>
      </c>
      <c r="AC28" s="18">
        <f t="shared" si="26"/>
        <v>0</v>
      </c>
      <c r="AD28" s="99">
        <f t="shared" si="5"/>
        <v>0</v>
      </c>
      <c r="AE28" s="18">
        <f>$C$28*$D$28</f>
        <v>0</v>
      </c>
      <c r="AF28" s="18">
        <f t="shared" si="26"/>
        <v>0</v>
      </c>
      <c r="AG28" s="18">
        <f t="shared" si="26"/>
        <v>0</v>
      </c>
      <c r="AH28" s="18">
        <f t="shared" si="26"/>
        <v>0</v>
      </c>
      <c r="AI28" s="18">
        <f t="shared" si="26"/>
        <v>0</v>
      </c>
      <c r="AJ28" s="18">
        <f t="shared" si="26"/>
        <v>0</v>
      </c>
      <c r="AK28" s="18">
        <f t="shared" si="26"/>
        <v>0</v>
      </c>
      <c r="AL28" s="18">
        <f t="shared" si="26"/>
        <v>0</v>
      </c>
      <c r="AM28" s="18">
        <f t="shared" si="26"/>
        <v>0</v>
      </c>
      <c r="AN28" s="18">
        <f t="shared" si="26"/>
        <v>0</v>
      </c>
      <c r="AO28" s="18">
        <f t="shared" si="26"/>
        <v>0</v>
      </c>
      <c r="AP28" s="18">
        <f t="shared" si="26"/>
        <v>0</v>
      </c>
      <c r="AQ28" s="99">
        <f t="shared" si="6"/>
        <v>0</v>
      </c>
      <c r="AR28" s="18">
        <f>$C$28*$D$28</f>
        <v>0</v>
      </c>
      <c r="AS28" s="18">
        <f t="shared" si="26"/>
        <v>0</v>
      </c>
      <c r="AT28" s="18">
        <f t="shared" si="26"/>
        <v>0</v>
      </c>
      <c r="AU28" s="18">
        <f t="shared" si="26"/>
        <v>0</v>
      </c>
      <c r="AV28" s="18">
        <f t="shared" si="26"/>
        <v>0</v>
      </c>
      <c r="AW28" s="18">
        <f t="shared" si="26"/>
        <v>0</v>
      </c>
      <c r="AX28" s="18">
        <f t="shared" si="26"/>
        <v>0</v>
      </c>
      <c r="AY28" s="18">
        <f t="shared" si="26"/>
        <v>0</v>
      </c>
      <c r="AZ28" s="18">
        <f t="shared" si="26"/>
        <v>0</v>
      </c>
      <c r="BA28" s="18">
        <f t="shared" si="26"/>
        <v>0</v>
      </c>
      <c r="BB28" s="18">
        <f t="shared" si="26"/>
        <v>0</v>
      </c>
      <c r="BC28" s="18">
        <f t="shared" si="26"/>
        <v>0</v>
      </c>
      <c r="BD28" s="99">
        <f t="shared" si="7"/>
        <v>0</v>
      </c>
      <c r="BE28" s="18">
        <f>$C$28*$D$28</f>
        <v>0</v>
      </c>
      <c r="BF28" s="18">
        <f t="shared" si="26"/>
        <v>0</v>
      </c>
      <c r="BG28" s="18">
        <f t="shared" si="26"/>
        <v>0</v>
      </c>
      <c r="BH28" s="18">
        <f t="shared" si="26"/>
        <v>0</v>
      </c>
      <c r="BI28" s="18">
        <f t="shared" si="26"/>
        <v>0</v>
      </c>
      <c r="BJ28" s="18">
        <f t="shared" si="26"/>
        <v>0</v>
      </c>
      <c r="BK28" s="18">
        <f t="shared" si="26"/>
        <v>0</v>
      </c>
      <c r="BL28" s="18">
        <f t="shared" si="26"/>
        <v>0</v>
      </c>
      <c r="BM28" s="18">
        <f t="shared" si="26"/>
        <v>0</v>
      </c>
      <c r="BN28" s="18">
        <f t="shared" si="26"/>
        <v>0</v>
      </c>
      <c r="BO28" s="18">
        <f t="shared" si="26"/>
        <v>0</v>
      </c>
      <c r="BP28" s="18">
        <f t="shared" si="26"/>
        <v>0</v>
      </c>
      <c r="BQ28" s="99">
        <f t="shared" si="8"/>
        <v>0</v>
      </c>
    </row>
    <row r="29" spans="1:69" ht="57.6" x14ac:dyDescent="0.3">
      <c r="A29" s="1"/>
      <c r="B29" s="14" t="s">
        <v>493</v>
      </c>
      <c r="C29" s="133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99">
        <f t="shared" si="3"/>
        <v>0</v>
      </c>
      <c r="R29" s="18">
        <f t="shared" ref="R29:BP29" si="27">$C$29*$D$29</f>
        <v>0</v>
      </c>
      <c r="S29" s="18">
        <f t="shared" si="27"/>
        <v>0</v>
      </c>
      <c r="T29" s="18">
        <f t="shared" si="27"/>
        <v>0</v>
      </c>
      <c r="U29" s="18">
        <f t="shared" si="27"/>
        <v>0</v>
      </c>
      <c r="V29" s="18">
        <f t="shared" si="27"/>
        <v>0</v>
      </c>
      <c r="W29" s="18">
        <f t="shared" si="27"/>
        <v>0</v>
      </c>
      <c r="X29" s="18">
        <f t="shared" si="27"/>
        <v>0</v>
      </c>
      <c r="Y29" s="18">
        <f t="shared" si="27"/>
        <v>0</v>
      </c>
      <c r="Z29" s="18">
        <f t="shared" si="27"/>
        <v>0</v>
      </c>
      <c r="AA29" s="18">
        <f t="shared" si="27"/>
        <v>0</v>
      </c>
      <c r="AB29" s="18">
        <f t="shared" si="27"/>
        <v>0</v>
      </c>
      <c r="AC29" s="18">
        <f t="shared" si="27"/>
        <v>0</v>
      </c>
      <c r="AD29" s="99">
        <f t="shared" si="5"/>
        <v>0</v>
      </c>
      <c r="AE29" s="18">
        <f>$C$29*$D$29</f>
        <v>0</v>
      </c>
      <c r="AF29" s="18">
        <f t="shared" si="27"/>
        <v>0</v>
      </c>
      <c r="AG29" s="18">
        <f t="shared" si="27"/>
        <v>0</v>
      </c>
      <c r="AH29" s="18">
        <f t="shared" si="27"/>
        <v>0</v>
      </c>
      <c r="AI29" s="18">
        <f t="shared" si="27"/>
        <v>0</v>
      </c>
      <c r="AJ29" s="18">
        <f t="shared" si="27"/>
        <v>0</v>
      </c>
      <c r="AK29" s="18">
        <f t="shared" si="27"/>
        <v>0</v>
      </c>
      <c r="AL29" s="18">
        <f t="shared" si="27"/>
        <v>0</v>
      </c>
      <c r="AM29" s="18">
        <f t="shared" si="27"/>
        <v>0</v>
      </c>
      <c r="AN29" s="18">
        <f t="shared" si="27"/>
        <v>0</v>
      </c>
      <c r="AO29" s="18">
        <f t="shared" si="27"/>
        <v>0</v>
      </c>
      <c r="AP29" s="18">
        <f t="shared" si="27"/>
        <v>0</v>
      </c>
      <c r="AQ29" s="99">
        <f t="shared" si="6"/>
        <v>0</v>
      </c>
      <c r="AR29" s="18">
        <f>$C$29*$D$29</f>
        <v>0</v>
      </c>
      <c r="AS29" s="18">
        <f t="shared" si="27"/>
        <v>0</v>
      </c>
      <c r="AT29" s="18">
        <f t="shared" si="27"/>
        <v>0</v>
      </c>
      <c r="AU29" s="18">
        <f t="shared" si="27"/>
        <v>0</v>
      </c>
      <c r="AV29" s="18">
        <f t="shared" si="27"/>
        <v>0</v>
      </c>
      <c r="AW29" s="18">
        <f t="shared" si="27"/>
        <v>0</v>
      </c>
      <c r="AX29" s="18">
        <f t="shared" si="27"/>
        <v>0</v>
      </c>
      <c r="AY29" s="18">
        <f t="shared" si="27"/>
        <v>0</v>
      </c>
      <c r="AZ29" s="18">
        <f t="shared" si="27"/>
        <v>0</v>
      </c>
      <c r="BA29" s="18">
        <f t="shared" si="27"/>
        <v>0</v>
      </c>
      <c r="BB29" s="18">
        <f t="shared" si="27"/>
        <v>0</v>
      </c>
      <c r="BC29" s="18">
        <f t="shared" si="27"/>
        <v>0</v>
      </c>
      <c r="BD29" s="99">
        <f t="shared" si="7"/>
        <v>0</v>
      </c>
      <c r="BE29" s="18">
        <f>$C$29*$D$29</f>
        <v>0</v>
      </c>
      <c r="BF29" s="18">
        <f t="shared" si="27"/>
        <v>0</v>
      </c>
      <c r="BG29" s="18">
        <f t="shared" si="27"/>
        <v>0</v>
      </c>
      <c r="BH29" s="18">
        <f t="shared" si="27"/>
        <v>0</v>
      </c>
      <c r="BI29" s="18">
        <f t="shared" si="27"/>
        <v>0</v>
      </c>
      <c r="BJ29" s="18">
        <f t="shared" si="27"/>
        <v>0</v>
      </c>
      <c r="BK29" s="18">
        <f t="shared" si="27"/>
        <v>0</v>
      </c>
      <c r="BL29" s="18">
        <f t="shared" si="27"/>
        <v>0</v>
      </c>
      <c r="BM29" s="18">
        <f t="shared" si="27"/>
        <v>0</v>
      </c>
      <c r="BN29" s="18">
        <f t="shared" si="27"/>
        <v>0</v>
      </c>
      <c r="BO29" s="18">
        <f t="shared" si="27"/>
        <v>0</v>
      </c>
      <c r="BP29" s="18">
        <f t="shared" si="27"/>
        <v>0</v>
      </c>
      <c r="BQ29" s="99">
        <f t="shared" si="8"/>
        <v>0</v>
      </c>
    </row>
    <row r="30" spans="1:69" ht="57.6" x14ac:dyDescent="0.3">
      <c r="A30" s="1"/>
      <c r="B30" s="14" t="s">
        <v>494</v>
      </c>
      <c r="C30" s="133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99">
        <f t="shared" si="3"/>
        <v>0</v>
      </c>
      <c r="R30" s="18">
        <f t="shared" ref="R30:BP30" si="28">$C$30*$D$30</f>
        <v>0</v>
      </c>
      <c r="S30" s="18">
        <f t="shared" si="28"/>
        <v>0</v>
      </c>
      <c r="T30" s="18">
        <f t="shared" si="28"/>
        <v>0</v>
      </c>
      <c r="U30" s="18">
        <f t="shared" si="28"/>
        <v>0</v>
      </c>
      <c r="V30" s="18">
        <f t="shared" si="28"/>
        <v>0</v>
      </c>
      <c r="W30" s="18">
        <f t="shared" si="28"/>
        <v>0</v>
      </c>
      <c r="X30" s="18">
        <f t="shared" si="28"/>
        <v>0</v>
      </c>
      <c r="Y30" s="18">
        <f t="shared" si="28"/>
        <v>0</v>
      </c>
      <c r="Z30" s="18">
        <f t="shared" si="28"/>
        <v>0</v>
      </c>
      <c r="AA30" s="18">
        <f t="shared" si="28"/>
        <v>0</v>
      </c>
      <c r="AB30" s="18">
        <f t="shared" si="28"/>
        <v>0</v>
      </c>
      <c r="AC30" s="18">
        <f t="shared" si="28"/>
        <v>0</v>
      </c>
      <c r="AD30" s="99">
        <f t="shared" si="5"/>
        <v>0</v>
      </c>
      <c r="AE30" s="18">
        <f>$C$30*$D$30</f>
        <v>0</v>
      </c>
      <c r="AF30" s="18">
        <f t="shared" si="28"/>
        <v>0</v>
      </c>
      <c r="AG30" s="18">
        <f t="shared" si="28"/>
        <v>0</v>
      </c>
      <c r="AH30" s="18">
        <f t="shared" si="28"/>
        <v>0</v>
      </c>
      <c r="AI30" s="18">
        <f t="shared" si="28"/>
        <v>0</v>
      </c>
      <c r="AJ30" s="18">
        <f t="shared" si="28"/>
        <v>0</v>
      </c>
      <c r="AK30" s="18">
        <f t="shared" si="28"/>
        <v>0</v>
      </c>
      <c r="AL30" s="18">
        <f t="shared" si="28"/>
        <v>0</v>
      </c>
      <c r="AM30" s="18">
        <f t="shared" si="28"/>
        <v>0</v>
      </c>
      <c r="AN30" s="18">
        <f t="shared" si="28"/>
        <v>0</v>
      </c>
      <c r="AO30" s="18">
        <f t="shared" si="28"/>
        <v>0</v>
      </c>
      <c r="AP30" s="18">
        <f t="shared" si="28"/>
        <v>0</v>
      </c>
      <c r="AQ30" s="99">
        <f t="shared" si="6"/>
        <v>0</v>
      </c>
      <c r="AR30" s="18">
        <f>$C$30*$D$30</f>
        <v>0</v>
      </c>
      <c r="AS30" s="18">
        <f t="shared" si="28"/>
        <v>0</v>
      </c>
      <c r="AT30" s="18">
        <f t="shared" si="28"/>
        <v>0</v>
      </c>
      <c r="AU30" s="18">
        <f t="shared" si="28"/>
        <v>0</v>
      </c>
      <c r="AV30" s="18">
        <f t="shared" si="28"/>
        <v>0</v>
      </c>
      <c r="AW30" s="18">
        <f t="shared" si="28"/>
        <v>0</v>
      </c>
      <c r="AX30" s="18">
        <f t="shared" si="28"/>
        <v>0</v>
      </c>
      <c r="AY30" s="18">
        <f t="shared" si="28"/>
        <v>0</v>
      </c>
      <c r="AZ30" s="18">
        <f t="shared" si="28"/>
        <v>0</v>
      </c>
      <c r="BA30" s="18">
        <f t="shared" si="28"/>
        <v>0</v>
      </c>
      <c r="BB30" s="18">
        <f t="shared" si="28"/>
        <v>0</v>
      </c>
      <c r="BC30" s="18">
        <f t="shared" si="28"/>
        <v>0</v>
      </c>
      <c r="BD30" s="99">
        <f t="shared" si="7"/>
        <v>0</v>
      </c>
      <c r="BE30" s="18">
        <f>$C$30*$D$30</f>
        <v>0</v>
      </c>
      <c r="BF30" s="18">
        <f t="shared" si="28"/>
        <v>0</v>
      </c>
      <c r="BG30" s="18">
        <f t="shared" si="28"/>
        <v>0</v>
      </c>
      <c r="BH30" s="18">
        <f t="shared" si="28"/>
        <v>0</v>
      </c>
      <c r="BI30" s="18">
        <f t="shared" si="28"/>
        <v>0</v>
      </c>
      <c r="BJ30" s="18">
        <f t="shared" si="28"/>
        <v>0</v>
      </c>
      <c r="BK30" s="18">
        <f t="shared" si="28"/>
        <v>0</v>
      </c>
      <c r="BL30" s="18">
        <f t="shared" si="28"/>
        <v>0</v>
      </c>
      <c r="BM30" s="18">
        <f t="shared" si="28"/>
        <v>0</v>
      </c>
      <c r="BN30" s="18">
        <f t="shared" si="28"/>
        <v>0</v>
      </c>
      <c r="BO30" s="18">
        <f t="shared" si="28"/>
        <v>0</v>
      </c>
      <c r="BP30" s="18">
        <f t="shared" si="28"/>
        <v>0</v>
      </c>
      <c r="BQ30" s="99">
        <f t="shared" si="8"/>
        <v>0</v>
      </c>
    </row>
    <row r="31" spans="1:69" ht="86.4" x14ac:dyDescent="0.3">
      <c r="A31" s="1"/>
      <c r="B31" s="14" t="s">
        <v>495</v>
      </c>
      <c r="C31" s="133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99">
        <f t="shared" si="3"/>
        <v>0</v>
      </c>
      <c r="R31" s="18">
        <f t="shared" ref="R31:BP31" si="29">$C$31*$D$31</f>
        <v>0</v>
      </c>
      <c r="S31" s="18">
        <f t="shared" si="29"/>
        <v>0</v>
      </c>
      <c r="T31" s="18">
        <f t="shared" si="29"/>
        <v>0</v>
      </c>
      <c r="U31" s="18">
        <f t="shared" si="29"/>
        <v>0</v>
      </c>
      <c r="V31" s="18">
        <f t="shared" si="29"/>
        <v>0</v>
      </c>
      <c r="W31" s="18">
        <f t="shared" si="29"/>
        <v>0</v>
      </c>
      <c r="X31" s="18">
        <f t="shared" si="29"/>
        <v>0</v>
      </c>
      <c r="Y31" s="18">
        <f t="shared" si="29"/>
        <v>0</v>
      </c>
      <c r="Z31" s="18">
        <f t="shared" si="29"/>
        <v>0</v>
      </c>
      <c r="AA31" s="18">
        <f t="shared" si="29"/>
        <v>0</v>
      </c>
      <c r="AB31" s="18">
        <f t="shared" si="29"/>
        <v>0</v>
      </c>
      <c r="AC31" s="18">
        <f t="shared" si="29"/>
        <v>0</v>
      </c>
      <c r="AD31" s="99">
        <f t="shared" si="5"/>
        <v>0</v>
      </c>
      <c r="AE31" s="18">
        <f>$C$31*$D$31</f>
        <v>0</v>
      </c>
      <c r="AF31" s="18">
        <f t="shared" si="29"/>
        <v>0</v>
      </c>
      <c r="AG31" s="18">
        <f t="shared" si="29"/>
        <v>0</v>
      </c>
      <c r="AH31" s="18">
        <f t="shared" si="29"/>
        <v>0</v>
      </c>
      <c r="AI31" s="18">
        <f t="shared" si="29"/>
        <v>0</v>
      </c>
      <c r="AJ31" s="18">
        <f t="shared" si="29"/>
        <v>0</v>
      </c>
      <c r="AK31" s="18">
        <f t="shared" si="29"/>
        <v>0</v>
      </c>
      <c r="AL31" s="18">
        <f t="shared" si="29"/>
        <v>0</v>
      </c>
      <c r="AM31" s="18">
        <f t="shared" si="29"/>
        <v>0</v>
      </c>
      <c r="AN31" s="18">
        <f t="shared" si="29"/>
        <v>0</v>
      </c>
      <c r="AO31" s="18">
        <f t="shared" si="29"/>
        <v>0</v>
      </c>
      <c r="AP31" s="18">
        <f t="shared" si="29"/>
        <v>0</v>
      </c>
      <c r="AQ31" s="99">
        <f t="shared" si="6"/>
        <v>0</v>
      </c>
      <c r="AR31" s="18">
        <f>$C$31*$D$31</f>
        <v>0</v>
      </c>
      <c r="AS31" s="18">
        <f t="shared" si="29"/>
        <v>0</v>
      </c>
      <c r="AT31" s="18">
        <f t="shared" si="29"/>
        <v>0</v>
      </c>
      <c r="AU31" s="18">
        <f t="shared" si="29"/>
        <v>0</v>
      </c>
      <c r="AV31" s="18">
        <f t="shared" si="29"/>
        <v>0</v>
      </c>
      <c r="AW31" s="18">
        <f t="shared" si="29"/>
        <v>0</v>
      </c>
      <c r="AX31" s="18">
        <f t="shared" si="29"/>
        <v>0</v>
      </c>
      <c r="AY31" s="18">
        <f t="shared" si="29"/>
        <v>0</v>
      </c>
      <c r="AZ31" s="18">
        <f t="shared" si="29"/>
        <v>0</v>
      </c>
      <c r="BA31" s="18">
        <f t="shared" si="29"/>
        <v>0</v>
      </c>
      <c r="BB31" s="18">
        <f t="shared" si="29"/>
        <v>0</v>
      </c>
      <c r="BC31" s="18">
        <f t="shared" si="29"/>
        <v>0</v>
      </c>
      <c r="BD31" s="99">
        <f t="shared" si="7"/>
        <v>0</v>
      </c>
      <c r="BE31" s="18">
        <f>$C$31*$D$31</f>
        <v>0</v>
      </c>
      <c r="BF31" s="18">
        <f t="shared" si="29"/>
        <v>0</v>
      </c>
      <c r="BG31" s="18">
        <f t="shared" si="29"/>
        <v>0</v>
      </c>
      <c r="BH31" s="18">
        <f t="shared" si="29"/>
        <v>0</v>
      </c>
      <c r="BI31" s="18">
        <f t="shared" si="29"/>
        <v>0</v>
      </c>
      <c r="BJ31" s="18">
        <f t="shared" si="29"/>
        <v>0</v>
      </c>
      <c r="BK31" s="18">
        <f t="shared" si="29"/>
        <v>0</v>
      </c>
      <c r="BL31" s="18">
        <f t="shared" si="29"/>
        <v>0</v>
      </c>
      <c r="BM31" s="18">
        <f t="shared" si="29"/>
        <v>0</v>
      </c>
      <c r="BN31" s="18">
        <f t="shared" si="29"/>
        <v>0</v>
      </c>
      <c r="BO31" s="18">
        <f t="shared" si="29"/>
        <v>0</v>
      </c>
      <c r="BP31" s="18">
        <f t="shared" si="29"/>
        <v>0</v>
      </c>
      <c r="BQ31" s="99">
        <f t="shared" si="8"/>
        <v>0</v>
      </c>
    </row>
    <row r="32" spans="1:69" ht="43.2" x14ac:dyDescent="0.3">
      <c r="A32" s="1"/>
      <c r="B32" s="14" t="s">
        <v>496</v>
      </c>
      <c r="C32" s="133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99">
        <f t="shared" si="3"/>
        <v>0</v>
      </c>
      <c r="R32" s="18">
        <f t="shared" ref="R32:BP32" si="30">$C$32*$D$32</f>
        <v>0</v>
      </c>
      <c r="S32" s="18">
        <f t="shared" si="30"/>
        <v>0</v>
      </c>
      <c r="T32" s="18">
        <f t="shared" si="30"/>
        <v>0</v>
      </c>
      <c r="U32" s="18">
        <f t="shared" si="30"/>
        <v>0</v>
      </c>
      <c r="V32" s="18">
        <f t="shared" si="30"/>
        <v>0</v>
      </c>
      <c r="W32" s="18">
        <f t="shared" si="30"/>
        <v>0</v>
      </c>
      <c r="X32" s="18">
        <f t="shared" si="30"/>
        <v>0</v>
      </c>
      <c r="Y32" s="18">
        <f t="shared" si="30"/>
        <v>0</v>
      </c>
      <c r="Z32" s="18">
        <f t="shared" si="30"/>
        <v>0</v>
      </c>
      <c r="AA32" s="18">
        <f t="shared" si="30"/>
        <v>0</v>
      </c>
      <c r="AB32" s="18">
        <f t="shared" si="30"/>
        <v>0</v>
      </c>
      <c r="AC32" s="18">
        <f t="shared" si="30"/>
        <v>0</v>
      </c>
      <c r="AD32" s="99">
        <f t="shared" si="5"/>
        <v>0</v>
      </c>
      <c r="AE32" s="18">
        <f>$C$32*$D$32</f>
        <v>0</v>
      </c>
      <c r="AF32" s="18">
        <f t="shared" si="30"/>
        <v>0</v>
      </c>
      <c r="AG32" s="18">
        <f t="shared" si="30"/>
        <v>0</v>
      </c>
      <c r="AH32" s="18">
        <f t="shared" si="30"/>
        <v>0</v>
      </c>
      <c r="AI32" s="18">
        <f t="shared" si="30"/>
        <v>0</v>
      </c>
      <c r="AJ32" s="18">
        <f t="shared" si="30"/>
        <v>0</v>
      </c>
      <c r="AK32" s="18">
        <f t="shared" si="30"/>
        <v>0</v>
      </c>
      <c r="AL32" s="18">
        <f t="shared" si="30"/>
        <v>0</v>
      </c>
      <c r="AM32" s="18">
        <f t="shared" si="30"/>
        <v>0</v>
      </c>
      <c r="AN32" s="18">
        <f t="shared" si="30"/>
        <v>0</v>
      </c>
      <c r="AO32" s="18">
        <f t="shared" si="30"/>
        <v>0</v>
      </c>
      <c r="AP32" s="18">
        <f t="shared" si="30"/>
        <v>0</v>
      </c>
      <c r="AQ32" s="99">
        <f t="shared" si="6"/>
        <v>0</v>
      </c>
      <c r="AR32" s="18">
        <f>$C$32*$D$32</f>
        <v>0</v>
      </c>
      <c r="AS32" s="18">
        <f t="shared" si="30"/>
        <v>0</v>
      </c>
      <c r="AT32" s="18">
        <f t="shared" si="30"/>
        <v>0</v>
      </c>
      <c r="AU32" s="18">
        <f t="shared" si="30"/>
        <v>0</v>
      </c>
      <c r="AV32" s="18">
        <f t="shared" si="30"/>
        <v>0</v>
      </c>
      <c r="AW32" s="18">
        <f t="shared" si="30"/>
        <v>0</v>
      </c>
      <c r="AX32" s="18">
        <f t="shared" si="30"/>
        <v>0</v>
      </c>
      <c r="AY32" s="18">
        <f t="shared" si="30"/>
        <v>0</v>
      </c>
      <c r="AZ32" s="18">
        <f t="shared" si="30"/>
        <v>0</v>
      </c>
      <c r="BA32" s="18">
        <f t="shared" si="30"/>
        <v>0</v>
      </c>
      <c r="BB32" s="18">
        <f t="shared" si="30"/>
        <v>0</v>
      </c>
      <c r="BC32" s="18">
        <f t="shared" si="30"/>
        <v>0</v>
      </c>
      <c r="BD32" s="99">
        <f t="shared" si="7"/>
        <v>0</v>
      </c>
      <c r="BE32" s="18">
        <f>$C$32*$D$32</f>
        <v>0</v>
      </c>
      <c r="BF32" s="18">
        <f t="shared" si="30"/>
        <v>0</v>
      </c>
      <c r="BG32" s="18">
        <f t="shared" si="30"/>
        <v>0</v>
      </c>
      <c r="BH32" s="18">
        <f t="shared" si="30"/>
        <v>0</v>
      </c>
      <c r="BI32" s="18">
        <f t="shared" si="30"/>
        <v>0</v>
      </c>
      <c r="BJ32" s="18">
        <f t="shared" si="30"/>
        <v>0</v>
      </c>
      <c r="BK32" s="18">
        <f t="shared" si="30"/>
        <v>0</v>
      </c>
      <c r="BL32" s="18">
        <f t="shared" si="30"/>
        <v>0</v>
      </c>
      <c r="BM32" s="18">
        <f t="shared" si="30"/>
        <v>0</v>
      </c>
      <c r="BN32" s="18">
        <f t="shared" si="30"/>
        <v>0</v>
      </c>
      <c r="BO32" s="18">
        <f t="shared" si="30"/>
        <v>0</v>
      </c>
      <c r="BP32" s="18">
        <f t="shared" si="30"/>
        <v>0</v>
      </c>
      <c r="BQ32" s="99">
        <f t="shared" si="8"/>
        <v>0</v>
      </c>
    </row>
    <row r="33" spans="1:69" ht="43.2" x14ac:dyDescent="0.3">
      <c r="A33" s="1"/>
      <c r="B33" s="14" t="s">
        <v>497</v>
      </c>
      <c r="C33" s="133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99">
        <f t="shared" si="3"/>
        <v>0</v>
      </c>
      <c r="R33" s="18">
        <f t="shared" ref="R33:BP33" si="31">$C$33*$D$33</f>
        <v>0</v>
      </c>
      <c r="S33" s="18">
        <f t="shared" si="31"/>
        <v>0</v>
      </c>
      <c r="T33" s="18">
        <f t="shared" si="31"/>
        <v>0</v>
      </c>
      <c r="U33" s="18">
        <f t="shared" si="31"/>
        <v>0</v>
      </c>
      <c r="V33" s="18">
        <f t="shared" si="31"/>
        <v>0</v>
      </c>
      <c r="W33" s="18">
        <f t="shared" si="31"/>
        <v>0</v>
      </c>
      <c r="X33" s="18">
        <f t="shared" si="31"/>
        <v>0</v>
      </c>
      <c r="Y33" s="18">
        <f t="shared" si="31"/>
        <v>0</v>
      </c>
      <c r="Z33" s="18">
        <f t="shared" si="31"/>
        <v>0</v>
      </c>
      <c r="AA33" s="18">
        <f t="shared" si="31"/>
        <v>0</v>
      </c>
      <c r="AB33" s="18">
        <f t="shared" si="31"/>
        <v>0</v>
      </c>
      <c r="AC33" s="18">
        <f t="shared" si="31"/>
        <v>0</v>
      </c>
      <c r="AD33" s="99">
        <f t="shared" si="5"/>
        <v>0</v>
      </c>
      <c r="AE33" s="18">
        <f>$C$33*$D$33</f>
        <v>0</v>
      </c>
      <c r="AF33" s="18">
        <f t="shared" si="31"/>
        <v>0</v>
      </c>
      <c r="AG33" s="18">
        <f t="shared" si="31"/>
        <v>0</v>
      </c>
      <c r="AH33" s="18">
        <f t="shared" si="31"/>
        <v>0</v>
      </c>
      <c r="AI33" s="18">
        <f t="shared" si="31"/>
        <v>0</v>
      </c>
      <c r="AJ33" s="18">
        <f t="shared" si="31"/>
        <v>0</v>
      </c>
      <c r="AK33" s="18">
        <f t="shared" si="31"/>
        <v>0</v>
      </c>
      <c r="AL33" s="18">
        <f t="shared" si="31"/>
        <v>0</v>
      </c>
      <c r="AM33" s="18">
        <f t="shared" si="31"/>
        <v>0</v>
      </c>
      <c r="AN33" s="18">
        <f t="shared" si="31"/>
        <v>0</v>
      </c>
      <c r="AO33" s="18">
        <f t="shared" si="31"/>
        <v>0</v>
      </c>
      <c r="AP33" s="18">
        <f t="shared" si="31"/>
        <v>0</v>
      </c>
      <c r="AQ33" s="99">
        <f t="shared" si="6"/>
        <v>0</v>
      </c>
      <c r="AR33" s="18">
        <f>$C$33*$D$33</f>
        <v>0</v>
      </c>
      <c r="AS33" s="18">
        <f t="shared" si="31"/>
        <v>0</v>
      </c>
      <c r="AT33" s="18">
        <f t="shared" si="31"/>
        <v>0</v>
      </c>
      <c r="AU33" s="18">
        <f t="shared" si="31"/>
        <v>0</v>
      </c>
      <c r="AV33" s="18">
        <f t="shared" si="31"/>
        <v>0</v>
      </c>
      <c r="AW33" s="18">
        <f t="shared" si="31"/>
        <v>0</v>
      </c>
      <c r="AX33" s="18">
        <f t="shared" si="31"/>
        <v>0</v>
      </c>
      <c r="AY33" s="18">
        <f t="shared" si="31"/>
        <v>0</v>
      </c>
      <c r="AZ33" s="18">
        <f t="shared" si="31"/>
        <v>0</v>
      </c>
      <c r="BA33" s="18">
        <f t="shared" si="31"/>
        <v>0</v>
      </c>
      <c r="BB33" s="18">
        <f t="shared" si="31"/>
        <v>0</v>
      </c>
      <c r="BC33" s="18">
        <f t="shared" si="31"/>
        <v>0</v>
      </c>
      <c r="BD33" s="99">
        <f t="shared" si="7"/>
        <v>0</v>
      </c>
      <c r="BE33" s="18">
        <f>$C$33*$D$33</f>
        <v>0</v>
      </c>
      <c r="BF33" s="18">
        <f t="shared" si="31"/>
        <v>0</v>
      </c>
      <c r="BG33" s="18">
        <f t="shared" si="31"/>
        <v>0</v>
      </c>
      <c r="BH33" s="18">
        <f t="shared" si="31"/>
        <v>0</v>
      </c>
      <c r="BI33" s="18">
        <f t="shared" si="31"/>
        <v>0</v>
      </c>
      <c r="BJ33" s="18">
        <f t="shared" si="31"/>
        <v>0</v>
      </c>
      <c r="BK33" s="18">
        <f t="shared" si="31"/>
        <v>0</v>
      </c>
      <c r="BL33" s="18">
        <f t="shared" si="31"/>
        <v>0</v>
      </c>
      <c r="BM33" s="18">
        <f t="shared" si="31"/>
        <v>0</v>
      </c>
      <c r="BN33" s="18">
        <f t="shared" si="31"/>
        <v>0</v>
      </c>
      <c r="BO33" s="18">
        <f t="shared" si="31"/>
        <v>0</v>
      </c>
      <c r="BP33" s="18">
        <f t="shared" si="31"/>
        <v>0</v>
      </c>
      <c r="BQ33" s="99">
        <f t="shared" si="8"/>
        <v>0</v>
      </c>
    </row>
    <row r="34" spans="1:69" ht="100.8" x14ac:dyDescent="0.3">
      <c r="A34" s="1"/>
      <c r="B34" s="14" t="s">
        <v>498</v>
      </c>
      <c r="C34" s="133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99">
        <f t="shared" si="3"/>
        <v>0</v>
      </c>
      <c r="R34" s="18">
        <f t="shared" ref="R34:BP34" si="32">$C$34*$D$34</f>
        <v>0</v>
      </c>
      <c r="S34" s="18">
        <f t="shared" si="32"/>
        <v>0</v>
      </c>
      <c r="T34" s="18">
        <f t="shared" si="32"/>
        <v>0</v>
      </c>
      <c r="U34" s="18">
        <f t="shared" si="32"/>
        <v>0</v>
      </c>
      <c r="V34" s="18">
        <f t="shared" si="32"/>
        <v>0</v>
      </c>
      <c r="W34" s="18">
        <f t="shared" si="32"/>
        <v>0</v>
      </c>
      <c r="X34" s="18">
        <f t="shared" si="32"/>
        <v>0</v>
      </c>
      <c r="Y34" s="18">
        <f t="shared" si="32"/>
        <v>0</v>
      </c>
      <c r="Z34" s="18">
        <f t="shared" si="32"/>
        <v>0</v>
      </c>
      <c r="AA34" s="18">
        <f t="shared" si="32"/>
        <v>0</v>
      </c>
      <c r="AB34" s="18">
        <f t="shared" si="32"/>
        <v>0</v>
      </c>
      <c r="AC34" s="18">
        <f t="shared" si="32"/>
        <v>0</v>
      </c>
      <c r="AD34" s="99">
        <f t="shared" si="5"/>
        <v>0</v>
      </c>
      <c r="AE34" s="18">
        <f>$C$34*$D$34</f>
        <v>0</v>
      </c>
      <c r="AF34" s="18">
        <f t="shared" si="32"/>
        <v>0</v>
      </c>
      <c r="AG34" s="18">
        <f t="shared" si="32"/>
        <v>0</v>
      </c>
      <c r="AH34" s="18">
        <f t="shared" si="32"/>
        <v>0</v>
      </c>
      <c r="AI34" s="18">
        <f t="shared" si="32"/>
        <v>0</v>
      </c>
      <c r="AJ34" s="18">
        <f t="shared" si="32"/>
        <v>0</v>
      </c>
      <c r="AK34" s="18">
        <f t="shared" si="32"/>
        <v>0</v>
      </c>
      <c r="AL34" s="18">
        <f t="shared" si="32"/>
        <v>0</v>
      </c>
      <c r="AM34" s="18">
        <f t="shared" si="32"/>
        <v>0</v>
      </c>
      <c r="AN34" s="18">
        <f t="shared" si="32"/>
        <v>0</v>
      </c>
      <c r="AO34" s="18">
        <f t="shared" si="32"/>
        <v>0</v>
      </c>
      <c r="AP34" s="18">
        <f t="shared" si="32"/>
        <v>0</v>
      </c>
      <c r="AQ34" s="99">
        <f t="shared" si="6"/>
        <v>0</v>
      </c>
      <c r="AR34" s="18">
        <f>$C$34*$D$34</f>
        <v>0</v>
      </c>
      <c r="AS34" s="18">
        <f t="shared" si="32"/>
        <v>0</v>
      </c>
      <c r="AT34" s="18">
        <f t="shared" si="32"/>
        <v>0</v>
      </c>
      <c r="AU34" s="18">
        <f t="shared" si="32"/>
        <v>0</v>
      </c>
      <c r="AV34" s="18">
        <f t="shared" si="32"/>
        <v>0</v>
      </c>
      <c r="AW34" s="18">
        <f t="shared" si="32"/>
        <v>0</v>
      </c>
      <c r="AX34" s="18">
        <f t="shared" si="32"/>
        <v>0</v>
      </c>
      <c r="AY34" s="18">
        <f t="shared" si="32"/>
        <v>0</v>
      </c>
      <c r="AZ34" s="18">
        <f t="shared" si="32"/>
        <v>0</v>
      </c>
      <c r="BA34" s="18">
        <f t="shared" si="32"/>
        <v>0</v>
      </c>
      <c r="BB34" s="18">
        <f t="shared" si="32"/>
        <v>0</v>
      </c>
      <c r="BC34" s="18">
        <f t="shared" si="32"/>
        <v>0</v>
      </c>
      <c r="BD34" s="99">
        <f t="shared" si="7"/>
        <v>0</v>
      </c>
      <c r="BE34" s="18">
        <f>$C$34*$D$34</f>
        <v>0</v>
      </c>
      <c r="BF34" s="18">
        <f t="shared" si="32"/>
        <v>0</v>
      </c>
      <c r="BG34" s="18">
        <f t="shared" si="32"/>
        <v>0</v>
      </c>
      <c r="BH34" s="18">
        <f t="shared" si="32"/>
        <v>0</v>
      </c>
      <c r="BI34" s="18">
        <f t="shared" si="32"/>
        <v>0</v>
      </c>
      <c r="BJ34" s="18">
        <f t="shared" si="32"/>
        <v>0</v>
      </c>
      <c r="BK34" s="18">
        <f t="shared" si="32"/>
        <v>0</v>
      </c>
      <c r="BL34" s="18">
        <f t="shared" si="32"/>
        <v>0</v>
      </c>
      <c r="BM34" s="18">
        <f t="shared" si="32"/>
        <v>0</v>
      </c>
      <c r="BN34" s="18">
        <f t="shared" si="32"/>
        <v>0</v>
      </c>
      <c r="BO34" s="18">
        <f t="shared" si="32"/>
        <v>0</v>
      </c>
      <c r="BP34" s="18">
        <f t="shared" si="32"/>
        <v>0</v>
      </c>
      <c r="BQ34" s="99">
        <f t="shared" si="8"/>
        <v>0</v>
      </c>
    </row>
    <row r="35" spans="1:69" x14ac:dyDescent="0.3">
      <c r="A35" s="1"/>
      <c r="B35" s="14"/>
      <c r="C35" s="133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99">
        <f t="shared" si="3"/>
        <v>0</v>
      </c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99">
        <f t="shared" si="5"/>
        <v>0</v>
      </c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19">
        <f t="shared" si="6"/>
        <v>0</v>
      </c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19">
        <f t="shared" si="7"/>
        <v>0</v>
      </c>
      <c r="BE35" s="18"/>
      <c r="BF35" s="18"/>
      <c r="BG35" s="18"/>
      <c r="BH35" s="18"/>
      <c r="BI35" s="18"/>
      <c r="BJ35" s="18"/>
      <c r="BK35" s="18"/>
      <c r="BL35" s="18"/>
      <c r="BM35" s="18"/>
      <c r="BN35" s="18"/>
      <c r="BO35" s="18"/>
      <c r="BP35" s="18"/>
      <c r="BQ35" s="119">
        <f t="shared" si="8"/>
        <v>0</v>
      </c>
    </row>
    <row r="36" spans="1:69" x14ac:dyDescent="0.3">
      <c r="A36" s="1"/>
      <c r="B36" s="14"/>
      <c r="C36" s="133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99">
        <f t="shared" si="3"/>
        <v>0</v>
      </c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99">
        <f t="shared" si="5"/>
        <v>0</v>
      </c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19">
        <f t="shared" si="6"/>
        <v>0</v>
      </c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19">
        <f t="shared" si="7"/>
        <v>0</v>
      </c>
      <c r="BE36" s="18"/>
      <c r="BF36" s="18"/>
      <c r="BG36" s="18"/>
      <c r="BH36" s="18"/>
      <c r="BI36" s="18"/>
      <c r="BJ36" s="18"/>
      <c r="BK36" s="18"/>
      <c r="BL36" s="18"/>
      <c r="BM36" s="18"/>
      <c r="BN36" s="18"/>
      <c r="BO36" s="18"/>
      <c r="BP36" s="18"/>
      <c r="BQ36" s="119">
        <f t="shared" si="8"/>
        <v>0</v>
      </c>
    </row>
    <row r="37" spans="1:69" x14ac:dyDescent="0.3">
      <c r="A37" s="1"/>
      <c r="B37" s="14"/>
      <c r="C37" s="133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99">
        <f t="shared" si="3"/>
        <v>0</v>
      </c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99">
        <f t="shared" si="5"/>
        <v>0</v>
      </c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19">
        <f t="shared" si="6"/>
        <v>0</v>
      </c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19">
        <f t="shared" si="7"/>
        <v>0</v>
      </c>
      <c r="BE37" s="18"/>
      <c r="BF37" s="18"/>
      <c r="BG37" s="18"/>
      <c r="BH37" s="18"/>
      <c r="BI37" s="18"/>
      <c r="BJ37" s="18"/>
      <c r="BK37" s="18"/>
      <c r="BL37" s="18"/>
      <c r="BM37" s="18"/>
      <c r="BN37" s="18"/>
      <c r="BO37" s="18"/>
      <c r="BP37" s="18"/>
      <c r="BQ37" s="119">
        <f t="shared" si="8"/>
        <v>0</v>
      </c>
    </row>
    <row r="38" spans="1:69" x14ac:dyDescent="0.3">
      <c r="A38" s="1"/>
      <c r="B38" s="14"/>
      <c r="C38" s="133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99">
        <f t="shared" si="3"/>
        <v>0</v>
      </c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99">
        <f t="shared" si="5"/>
        <v>0</v>
      </c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19">
        <f t="shared" si="6"/>
        <v>0</v>
      </c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19">
        <f t="shared" si="7"/>
        <v>0</v>
      </c>
      <c r="BE38" s="18"/>
      <c r="BF38" s="18"/>
      <c r="BG38" s="18"/>
      <c r="BH38" s="18"/>
      <c r="BI38" s="18"/>
      <c r="BJ38" s="18"/>
      <c r="BK38" s="18"/>
      <c r="BL38" s="18"/>
      <c r="BM38" s="18"/>
      <c r="BN38" s="18"/>
      <c r="BO38" s="18"/>
      <c r="BP38" s="18"/>
      <c r="BQ38" s="119">
        <f t="shared" si="8"/>
        <v>0</v>
      </c>
    </row>
    <row r="39" spans="1:69" x14ac:dyDescent="0.3">
      <c r="A39" s="1"/>
      <c r="B39" s="14"/>
      <c r="C39" s="133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99">
        <f t="shared" si="3"/>
        <v>0</v>
      </c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99">
        <f t="shared" si="5"/>
        <v>0</v>
      </c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19">
        <f t="shared" si="6"/>
        <v>0</v>
      </c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19">
        <f t="shared" si="7"/>
        <v>0</v>
      </c>
      <c r="BE39" s="18"/>
      <c r="BF39" s="18"/>
      <c r="BG39" s="18"/>
      <c r="BH39" s="18"/>
      <c r="BI39" s="18"/>
      <c r="BJ39" s="18"/>
      <c r="BK39" s="18"/>
      <c r="BL39" s="18"/>
      <c r="BM39" s="18"/>
      <c r="BN39" s="18"/>
      <c r="BO39" s="18"/>
      <c r="BP39" s="18"/>
      <c r="BQ39" s="119">
        <f t="shared" si="8"/>
        <v>0</v>
      </c>
    </row>
    <row r="40" spans="1:69" x14ac:dyDescent="0.3">
      <c r="A40" s="1"/>
      <c r="B40" s="14"/>
      <c r="C40" s="133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99">
        <f t="shared" si="3"/>
        <v>0</v>
      </c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99">
        <f t="shared" si="5"/>
        <v>0</v>
      </c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19">
        <f t="shared" si="6"/>
        <v>0</v>
      </c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19">
        <f t="shared" si="7"/>
        <v>0</v>
      </c>
      <c r="BE40" s="18"/>
      <c r="BF40" s="18"/>
      <c r="BG40" s="18"/>
      <c r="BH40" s="18"/>
      <c r="BI40" s="18"/>
      <c r="BJ40" s="18"/>
      <c r="BK40" s="18"/>
      <c r="BL40" s="18"/>
      <c r="BM40" s="18"/>
      <c r="BN40" s="18"/>
      <c r="BO40" s="18"/>
      <c r="BP40" s="18"/>
      <c r="BQ40" s="119">
        <f t="shared" si="8"/>
        <v>0</v>
      </c>
    </row>
    <row r="41" spans="1:69" x14ac:dyDescent="0.3">
      <c r="A41" s="1"/>
      <c r="B41" s="14"/>
      <c r="C41" s="133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99">
        <f t="shared" si="3"/>
        <v>0</v>
      </c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99">
        <f t="shared" si="5"/>
        <v>0</v>
      </c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19">
        <f t="shared" si="6"/>
        <v>0</v>
      </c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19">
        <f t="shared" si="7"/>
        <v>0</v>
      </c>
      <c r="BE41" s="18"/>
      <c r="BF41" s="18"/>
      <c r="BG41" s="18"/>
      <c r="BH41" s="18"/>
      <c r="BI41" s="18"/>
      <c r="BJ41" s="18"/>
      <c r="BK41" s="18"/>
      <c r="BL41" s="18"/>
      <c r="BM41" s="18"/>
      <c r="BN41" s="18"/>
      <c r="BO41" s="18"/>
      <c r="BP41" s="18"/>
      <c r="BQ41" s="119">
        <f t="shared" si="8"/>
        <v>0</v>
      </c>
    </row>
    <row r="42" spans="1:69" x14ac:dyDescent="0.3">
      <c r="A42" s="1"/>
      <c r="B42" s="14"/>
      <c r="C42" s="133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99">
        <f t="shared" si="3"/>
        <v>0</v>
      </c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99">
        <f t="shared" si="5"/>
        <v>0</v>
      </c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19">
        <f t="shared" si="6"/>
        <v>0</v>
      </c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19">
        <f t="shared" si="7"/>
        <v>0</v>
      </c>
      <c r="BE42" s="18"/>
      <c r="BF42" s="18"/>
      <c r="BG42" s="18"/>
      <c r="BH42" s="18"/>
      <c r="BI42" s="18"/>
      <c r="BJ42" s="18"/>
      <c r="BK42" s="18"/>
      <c r="BL42" s="18"/>
      <c r="BM42" s="18"/>
      <c r="BN42" s="18"/>
      <c r="BO42" s="18"/>
      <c r="BP42" s="18"/>
      <c r="BQ42" s="119">
        <f t="shared" si="8"/>
        <v>0</v>
      </c>
    </row>
    <row r="43" spans="1:69" x14ac:dyDescent="0.3">
      <c r="A43" s="1"/>
      <c r="B43" s="14"/>
      <c r="C43" s="133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99">
        <f t="shared" si="3"/>
        <v>0</v>
      </c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99">
        <f t="shared" si="5"/>
        <v>0</v>
      </c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19">
        <f t="shared" si="6"/>
        <v>0</v>
      </c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119">
        <f t="shared" si="7"/>
        <v>0</v>
      </c>
      <c r="BE43" s="18"/>
      <c r="BF43" s="18"/>
      <c r="BG43" s="18"/>
      <c r="BH43" s="18"/>
      <c r="BI43" s="18"/>
      <c r="BJ43" s="18"/>
      <c r="BK43" s="18"/>
      <c r="BL43" s="18"/>
      <c r="BM43" s="18"/>
      <c r="BN43" s="18"/>
      <c r="BO43" s="18"/>
      <c r="BP43" s="18"/>
      <c r="BQ43" s="119">
        <f t="shared" si="8"/>
        <v>0</v>
      </c>
    </row>
    <row r="44" spans="1:69" x14ac:dyDescent="0.3">
      <c r="A44" s="1"/>
      <c r="B44" s="14"/>
      <c r="C44" s="133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99">
        <f t="shared" si="3"/>
        <v>0</v>
      </c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99">
        <f t="shared" si="5"/>
        <v>0</v>
      </c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19">
        <f t="shared" si="6"/>
        <v>0</v>
      </c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19">
        <f t="shared" si="7"/>
        <v>0</v>
      </c>
      <c r="BE44" s="18"/>
      <c r="BF44" s="18"/>
      <c r="BG44" s="18"/>
      <c r="BH44" s="18"/>
      <c r="BI44" s="18"/>
      <c r="BJ44" s="18"/>
      <c r="BK44" s="18"/>
      <c r="BL44" s="18"/>
      <c r="BM44" s="18"/>
      <c r="BN44" s="18"/>
      <c r="BO44" s="18"/>
      <c r="BP44" s="18"/>
      <c r="BQ44" s="119">
        <f t="shared" si="8"/>
        <v>0</v>
      </c>
    </row>
    <row r="45" spans="1:69" x14ac:dyDescent="0.3">
      <c r="A45" s="1"/>
      <c r="B45" s="14"/>
      <c r="C45" s="133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99">
        <f t="shared" si="3"/>
        <v>0</v>
      </c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99">
        <f t="shared" si="5"/>
        <v>0</v>
      </c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19">
        <f t="shared" si="6"/>
        <v>0</v>
      </c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18"/>
      <c r="BC45" s="18"/>
      <c r="BD45" s="119">
        <f t="shared" si="7"/>
        <v>0</v>
      </c>
      <c r="BE45" s="18"/>
      <c r="BF45" s="18"/>
      <c r="BG45" s="18"/>
      <c r="BH45" s="18"/>
      <c r="BI45" s="18"/>
      <c r="BJ45" s="18"/>
      <c r="BK45" s="18"/>
      <c r="BL45" s="18"/>
      <c r="BM45" s="18"/>
      <c r="BN45" s="18"/>
      <c r="BO45" s="18"/>
      <c r="BP45" s="18"/>
      <c r="BQ45" s="119">
        <f t="shared" si="8"/>
        <v>0</v>
      </c>
    </row>
    <row r="46" spans="1:69" x14ac:dyDescent="0.3">
      <c r="A46" s="1"/>
      <c r="B46" s="14"/>
      <c r="C46" s="133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99">
        <f t="shared" si="3"/>
        <v>0</v>
      </c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99">
        <f t="shared" si="5"/>
        <v>0</v>
      </c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19">
        <f t="shared" si="6"/>
        <v>0</v>
      </c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18"/>
      <c r="BC46" s="18"/>
      <c r="BD46" s="119">
        <f t="shared" si="7"/>
        <v>0</v>
      </c>
      <c r="BE46" s="18"/>
      <c r="BF46" s="18"/>
      <c r="BG46" s="18"/>
      <c r="BH46" s="18"/>
      <c r="BI46" s="18"/>
      <c r="BJ46" s="18"/>
      <c r="BK46" s="18"/>
      <c r="BL46" s="18"/>
      <c r="BM46" s="18"/>
      <c r="BN46" s="18"/>
      <c r="BO46" s="18"/>
      <c r="BP46" s="18"/>
      <c r="BQ46" s="119">
        <f t="shared" si="8"/>
        <v>0</v>
      </c>
    </row>
    <row r="47" spans="1:69" x14ac:dyDescent="0.3">
      <c r="A47" s="1"/>
      <c r="B47" s="14"/>
      <c r="C47" s="133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99">
        <f t="shared" si="3"/>
        <v>0</v>
      </c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99">
        <f t="shared" si="5"/>
        <v>0</v>
      </c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19">
        <f t="shared" si="6"/>
        <v>0</v>
      </c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119">
        <f t="shared" si="7"/>
        <v>0</v>
      </c>
      <c r="BE47" s="18"/>
      <c r="BF47" s="18"/>
      <c r="BG47" s="18"/>
      <c r="BH47" s="18"/>
      <c r="BI47" s="18"/>
      <c r="BJ47" s="18"/>
      <c r="BK47" s="18"/>
      <c r="BL47" s="18"/>
      <c r="BM47" s="18"/>
      <c r="BN47" s="18"/>
      <c r="BO47" s="18"/>
      <c r="BP47" s="18"/>
      <c r="BQ47" s="119">
        <f t="shared" si="8"/>
        <v>0</v>
      </c>
    </row>
    <row r="48" spans="1:69" x14ac:dyDescent="0.3">
      <c r="A48" s="1"/>
      <c r="B48" s="14"/>
      <c r="C48" s="133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99">
        <f t="shared" si="3"/>
        <v>0</v>
      </c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99">
        <f t="shared" si="5"/>
        <v>0</v>
      </c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19">
        <f t="shared" si="6"/>
        <v>0</v>
      </c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/>
      <c r="BD48" s="119">
        <f t="shared" si="7"/>
        <v>0</v>
      </c>
      <c r="BE48" s="18"/>
      <c r="BF48" s="18"/>
      <c r="BG48" s="18"/>
      <c r="BH48" s="18"/>
      <c r="BI48" s="18"/>
      <c r="BJ48" s="18"/>
      <c r="BK48" s="18"/>
      <c r="BL48" s="18"/>
      <c r="BM48" s="18"/>
      <c r="BN48" s="18"/>
      <c r="BO48" s="18"/>
      <c r="BP48" s="18"/>
      <c r="BQ48" s="119">
        <f t="shared" si="8"/>
        <v>0</v>
      </c>
    </row>
    <row r="49" spans="1:69" x14ac:dyDescent="0.3">
      <c r="A49" s="1"/>
      <c r="B49" s="14"/>
      <c r="C49" s="133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99">
        <f t="shared" si="3"/>
        <v>0</v>
      </c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99">
        <f t="shared" si="5"/>
        <v>0</v>
      </c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19">
        <f t="shared" si="6"/>
        <v>0</v>
      </c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18"/>
      <c r="BD49" s="119">
        <f t="shared" si="7"/>
        <v>0</v>
      </c>
      <c r="BE49" s="18"/>
      <c r="BF49" s="18"/>
      <c r="BG49" s="18"/>
      <c r="BH49" s="18"/>
      <c r="BI49" s="18"/>
      <c r="BJ49" s="18"/>
      <c r="BK49" s="18"/>
      <c r="BL49" s="18"/>
      <c r="BM49" s="18"/>
      <c r="BN49" s="18"/>
      <c r="BO49" s="18"/>
      <c r="BP49" s="18"/>
      <c r="BQ49" s="119">
        <f t="shared" si="8"/>
        <v>0</v>
      </c>
    </row>
    <row r="50" spans="1:69" x14ac:dyDescent="0.3">
      <c r="A50" s="1"/>
      <c r="B50" s="14"/>
      <c r="C50" s="133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99">
        <f t="shared" si="3"/>
        <v>0</v>
      </c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99">
        <f t="shared" si="5"/>
        <v>0</v>
      </c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19">
        <f t="shared" si="6"/>
        <v>0</v>
      </c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C50" s="18"/>
      <c r="BD50" s="119">
        <f t="shared" si="7"/>
        <v>0</v>
      </c>
      <c r="BE50" s="18"/>
      <c r="BF50" s="18"/>
      <c r="BG50" s="18"/>
      <c r="BH50" s="18"/>
      <c r="BI50" s="18"/>
      <c r="BJ50" s="18"/>
      <c r="BK50" s="18"/>
      <c r="BL50" s="18"/>
      <c r="BM50" s="18"/>
      <c r="BN50" s="18"/>
      <c r="BO50" s="18"/>
      <c r="BP50" s="18"/>
      <c r="BQ50" s="119">
        <f t="shared" si="8"/>
        <v>0</v>
      </c>
    </row>
    <row r="51" spans="1:69" x14ac:dyDescent="0.3">
      <c r="A51" s="1"/>
      <c r="B51" s="14"/>
      <c r="C51" s="133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99">
        <f t="shared" si="3"/>
        <v>0</v>
      </c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99">
        <f t="shared" si="5"/>
        <v>0</v>
      </c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19">
        <f t="shared" si="6"/>
        <v>0</v>
      </c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8"/>
      <c r="BD51" s="119">
        <f t="shared" si="7"/>
        <v>0</v>
      </c>
      <c r="BE51" s="18"/>
      <c r="BF51" s="18"/>
      <c r="BG51" s="18"/>
      <c r="BH51" s="18"/>
      <c r="BI51" s="18"/>
      <c r="BJ51" s="18"/>
      <c r="BK51" s="18"/>
      <c r="BL51" s="18"/>
      <c r="BM51" s="18"/>
      <c r="BN51" s="18"/>
      <c r="BO51" s="18"/>
      <c r="BP51" s="18"/>
      <c r="BQ51" s="119">
        <f t="shared" si="8"/>
        <v>0</v>
      </c>
    </row>
    <row r="52" spans="1:69" x14ac:dyDescent="0.3">
      <c r="A52" s="1"/>
      <c r="B52" s="14"/>
      <c r="C52" s="133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99">
        <f t="shared" si="3"/>
        <v>0</v>
      </c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99">
        <f t="shared" si="5"/>
        <v>0</v>
      </c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19">
        <f t="shared" si="6"/>
        <v>0</v>
      </c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119">
        <f t="shared" si="7"/>
        <v>0</v>
      </c>
      <c r="BE52" s="18"/>
      <c r="BF52" s="18"/>
      <c r="BG52" s="18"/>
      <c r="BH52" s="18"/>
      <c r="BI52" s="18"/>
      <c r="BJ52" s="18"/>
      <c r="BK52" s="18"/>
      <c r="BL52" s="18"/>
      <c r="BM52" s="18"/>
      <c r="BN52" s="18"/>
      <c r="BO52" s="18"/>
      <c r="BP52" s="18"/>
      <c r="BQ52" s="119">
        <f t="shared" si="8"/>
        <v>0</v>
      </c>
    </row>
    <row r="53" spans="1:69" x14ac:dyDescent="0.3">
      <c r="A53" s="1"/>
      <c r="B53" s="14"/>
      <c r="C53" s="133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99">
        <f t="shared" si="3"/>
        <v>0</v>
      </c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99">
        <f t="shared" si="5"/>
        <v>0</v>
      </c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19">
        <f t="shared" si="6"/>
        <v>0</v>
      </c>
      <c r="AR53" s="18"/>
      <c r="AS53" s="18"/>
      <c r="AT53" s="18"/>
      <c r="AU53" s="18"/>
      <c r="AV53" s="18"/>
      <c r="AW53" s="18"/>
      <c r="AX53" s="18"/>
      <c r="AY53" s="18"/>
      <c r="AZ53" s="18"/>
      <c r="BA53" s="18"/>
      <c r="BB53" s="18"/>
      <c r="BC53" s="18"/>
      <c r="BD53" s="119">
        <f t="shared" si="7"/>
        <v>0</v>
      </c>
      <c r="BE53" s="18"/>
      <c r="BF53" s="18"/>
      <c r="BG53" s="18"/>
      <c r="BH53" s="18"/>
      <c r="BI53" s="18"/>
      <c r="BJ53" s="18"/>
      <c r="BK53" s="18"/>
      <c r="BL53" s="18"/>
      <c r="BM53" s="18"/>
      <c r="BN53" s="18"/>
      <c r="BO53" s="18"/>
      <c r="BP53" s="18"/>
      <c r="BQ53" s="119">
        <f t="shared" si="8"/>
        <v>0</v>
      </c>
    </row>
    <row r="54" spans="1:69" x14ac:dyDescent="0.3">
      <c r="A54" s="1"/>
      <c r="B54" s="14"/>
      <c r="C54" s="133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99">
        <f t="shared" si="3"/>
        <v>0</v>
      </c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99">
        <f t="shared" si="5"/>
        <v>0</v>
      </c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19">
        <f t="shared" si="6"/>
        <v>0</v>
      </c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19">
        <f t="shared" si="7"/>
        <v>0</v>
      </c>
      <c r="BE54" s="18"/>
      <c r="BF54" s="18"/>
      <c r="BG54" s="18"/>
      <c r="BH54" s="18"/>
      <c r="BI54" s="18"/>
      <c r="BJ54" s="18"/>
      <c r="BK54" s="18"/>
      <c r="BL54" s="18"/>
      <c r="BM54" s="18"/>
      <c r="BN54" s="18"/>
      <c r="BO54" s="18"/>
      <c r="BP54" s="18"/>
      <c r="BQ54" s="119">
        <f t="shared" si="8"/>
        <v>0</v>
      </c>
    </row>
    <row r="55" spans="1:69" x14ac:dyDescent="0.3">
      <c r="A55" s="1"/>
      <c r="B55" s="14"/>
      <c r="C55" s="133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99">
        <f t="shared" si="3"/>
        <v>0</v>
      </c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99">
        <f t="shared" si="5"/>
        <v>0</v>
      </c>
      <c r="AE55" s="18"/>
      <c r="AF55" s="18"/>
      <c r="AG55" s="18"/>
      <c r="AH55" s="18"/>
      <c r="AI55" s="18"/>
      <c r="AJ55" s="18"/>
      <c r="AK55" s="18"/>
      <c r="AL55" s="18"/>
      <c r="AM55" s="18"/>
      <c r="AN55" s="18"/>
      <c r="AO55" s="18"/>
      <c r="AP55" s="18"/>
      <c r="AQ55" s="119">
        <f t="shared" si="6"/>
        <v>0</v>
      </c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119">
        <f t="shared" si="7"/>
        <v>0</v>
      </c>
      <c r="BE55" s="18"/>
      <c r="BF55" s="18"/>
      <c r="BG55" s="18"/>
      <c r="BH55" s="18"/>
      <c r="BI55" s="18"/>
      <c r="BJ55" s="18"/>
      <c r="BK55" s="18"/>
      <c r="BL55" s="18"/>
      <c r="BM55" s="18"/>
      <c r="BN55" s="18"/>
      <c r="BO55" s="18"/>
      <c r="BP55" s="18"/>
      <c r="BQ55" s="119">
        <f t="shared" si="8"/>
        <v>0</v>
      </c>
    </row>
    <row r="56" spans="1:69" x14ac:dyDescent="0.3">
      <c r="A56" s="1"/>
      <c r="B56" s="14"/>
      <c r="C56" s="133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99">
        <f t="shared" si="3"/>
        <v>0</v>
      </c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99">
        <f t="shared" si="5"/>
        <v>0</v>
      </c>
      <c r="AE56" s="18"/>
      <c r="AF56" s="18"/>
      <c r="AG56" s="18"/>
      <c r="AH56" s="18"/>
      <c r="AI56" s="18"/>
      <c r="AJ56" s="18"/>
      <c r="AK56" s="18"/>
      <c r="AL56" s="18"/>
      <c r="AM56" s="18"/>
      <c r="AN56" s="18"/>
      <c r="AO56" s="18"/>
      <c r="AP56" s="18"/>
      <c r="AQ56" s="119">
        <f t="shared" si="6"/>
        <v>0</v>
      </c>
      <c r="AR56" s="18"/>
      <c r="AS56" s="18"/>
      <c r="AT56" s="18"/>
      <c r="AU56" s="18"/>
      <c r="AV56" s="18"/>
      <c r="AW56" s="18"/>
      <c r="AX56" s="18"/>
      <c r="AY56" s="18"/>
      <c r="AZ56" s="18"/>
      <c r="BA56" s="18"/>
      <c r="BB56" s="18"/>
      <c r="BC56" s="18"/>
      <c r="BD56" s="119">
        <f t="shared" si="7"/>
        <v>0</v>
      </c>
      <c r="BE56" s="18"/>
      <c r="BF56" s="18"/>
      <c r="BG56" s="18"/>
      <c r="BH56" s="18"/>
      <c r="BI56" s="18"/>
      <c r="BJ56" s="18"/>
      <c r="BK56" s="18"/>
      <c r="BL56" s="18"/>
      <c r="BM56" s="18"/>
      <c r="BN56" s="18"/>
      <c r="BO56" s="18"/>
      <c r="BP56" s="18"/>
      <c r="BQ56" s="119">
        <f t="shared" si="8"/>
        <v>0</v>
      </c>
    </row>
    <row r="57" spans="1:69" x14ac:dyDescent="0.3">
      <c r="A57" s="1"/>
      <c r="B57" s="14"/>
      <c r="C57" s="133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99">
        <f t="shared" si="3"/>
        <v>0</v>
      </c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99">
        <f t="shared" si="5"/>
        <v>0</v>
      </c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19">
        <f t="shared" si="6"/>
        <v>0</v>
      </c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119">
        <f t="shared" si="7"/>
        <v>0</v>
      </c>
      <c r="BE57" s="18"/>
      <c r="BF57" s="18"/>
      <c r="BG57" s="18"/>
      <c r="BH57" s="18"/>
      <c r="BI57" s="18"/>
      <c r="BJ57" s="18"/>
      <c r="BK57" s="18"/>
      <c r="BL57" s="18"/>
      <c r="BM57" s="18"/>
      <c r="BN57" s="18"/>
      <c r="BO57" s="18"/>
      <c r="BP57" s="18"/>
      <c r="BQ57" s="119">
        <f t="shared" si="8"/>
        <v>0</v>
      </c>
    </row>
    <row r="58" spans="1:69" x14ac:dyDescent="0.3">
      <c r="A58" s="1"/>
      <c r="B58" s="14"/>
      <c r="C58" s="133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99">
        <f t="shared" si="3"/>
        <v>0</v>
      </c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99">
        <f t="shared" si="5"/>
        <v>0</v>
      </c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19">
        <f t="shared" si="6"/>
        <v>0</v>
      </c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/>
      <c r="BC58" s="18"/>
      <c r="BD58" s="119">
        <f t="shared" si="7"/>
        <v>0</v>
      </c>
      <c r="BE58" s="18"/>
      <c r="BF58" s="18"/>
      <c r="BG58" s="18"/>
      <c r="BH58" s="18"/>
      <c r="BI58" s="18"/>
      <c r="BJ58" s="18"/>
      <c r="BK58" s="18"/>
      <c r="BL58" s="18"/>
      <c r="BM58" s="18"/>
      <c r="BN58" s="18"/>
      <c r="BO58" s="18"/>
      <c r="BP58" s="18"/>
      <c r="BQ58" s="119">
        <f t="shared" si="8"/>
        <v>0</v>
      </c>
    </row>
    <row r="59" spans="1:69" x14ac:dyDescent="0.3">
      <c r="A59" s="1"/>
      <c r="B59" s="14"/>
      <c r="C59" s="133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99">
        <f t="shared" si="3"/>
        <v>0</v>
      </c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99">
        <f t="shared" si="5"/>
        <v>0</v>
      </c>
      <c r="AE59" s="18"/>
      <c r="AF59" s="18"/>
      <c r="AG59" s="18"/>
      <c r="AH59" s="18"/>
      <c r="AI59" s="18"/>
      <c r="AJ59" s="18"/>
      <c r="AK59" s="18"/>
      <c r="AL59" s="18"/>
      <c r="AM59" s="18"/>
      <c r="AN59" s="18"/>
      <c r="AO59" s="18"/>
      <c r="AP59" s="18"/>
      <c r="AQ59" s="119">
        <f t="shared" si="6"/>
        <v>0</v>
      </c>
      <c r="AR59" s="18"/>
      <c r="AS59" s="18"/>
      <c r="AT59" s="18"/>
      <c r="AU59" s="18"/>
      <c r="AV59" s="18"/>
      <c r="AW59" s="18"/>
      <c r="AX59" s="18"/>
      <c r="AY59" s="18"/>
      <c r="AZ59" s="18"/>
      <c r="BA59" s="18"/>
      <c r="BB59" s="18"/>
      <c r="BC59" s="18"/>
      <c r="BD59" s="119">
        <f t="shared" si="7"/>
        <v>0</v>
      </c>
      <c r="BE59" s="18"/>
      <c r="BF59" s="18"/>
      <c r="BG59" s="18"/>
      <c r="BH59" s="18"/>
      <c r="BI59" s="18"/>
      <c r="BJ59" s="18"/>
      <c r="BK59" s="18"/>
      <c r="BL59" s="18"/>
      <c r="BM59" s="18"/>
      <c r="BN59" s="18"/>
      <c r="BO59" s="18"/>
      <c r="BP59" s="18"/>
      <c r="BQ59" s="119">
        <f t="shared" si="8"/>
        <v>0</v>
      </c>
    </row>
    <row r="60" spans="1:69" x14ac:dyDescent="0.3">
      <c r="A60" s="1"/>
      <c r="B60" s="14"/>
      <c r="C60" s="133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99">
        <f t="shared" si="3"/>
        <v>0</v>
      </c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99">
        <f t="shared" si="5"/>
        <v>0</v>
      </c>
      <c r="AE60" s="18"/>
      <c r="AF60" s="18"/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19">
        <f t="shared" si="6"/>
        <v>0</v>
      </c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19">
        <f t="shared" si="7"/>
        <v>0</v>
      </c>
      <c r="BE60" s="18"/>
      <c r="BF60" s="18"/>
      <c r="BG60" s="18"/>
      <c r="BH60" s="18"/>
      <c r="BI60" s="18"/>
      <c r="BJ60" s="18"/>
      <c r="BK60" s="18"/>
      <c r="BL60" s="18"/>
      <c r="BM60" s="18"/>
      <c r="BN60" s="18"/>
      <c r="BO60" s="18"/>
      <c r="BP60" s="18"/>
      <c r="BQ60" s="119">
        <f t="shared" si="8"/>
        <v>0</v>
      </c>
    </row>
    <row r="61" spans="1:69" x14ac:dyDescent="0.3">
      <c r="A61" s="1"/>
      <c r="B61" s="14"/>
      <c r="C61" s="133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99">
        <f t="shared" si="3"/>
        <v>0</v>
      </c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99">
        <f t="shared" si="5"/>
        <v>0</v>
      </c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19">
        <f t="shared" si="6"/>
        <v>0</v>
      </c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19">
        <f t="shared" si="7"/>
        <v>0</v>
      </c>
      <c r="BE61" s="18"/>
      <c r="BF61" s="18"/>
      <c r="BG61" s="18"/>
      <c r="BH61" s="18"/>
      <c r="BI61" s="18"/>
      <c r="BJ61" s="18"/>
      <c r="BK61" s="18"/>
      <c r="BL61" s="18"/>
      <c r="BM61" s="18"/>
      <c r="BN61" s="18"/>
      <c r="BO61" s="18"/>
      <c r="BP61" s="18"/>
      <c r="BQ61" s="119">
        <f t="shared" si="8"/>
        <v>0</v>
      </c>
    </row>
    <row r="62" spans="1:69" x14ac:dyDescent="0.3">
      <c r="A62" s="1"/>
      <c r="B62" s="14"/>
      <c r="C62" s="133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99">
        <f t="shared" si="3"/>
        <v>0</v>
      </c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99">
        <f t="shared" si="5"/>
        <v>0</v>
      </c>
      <c r="AE62" s="18"/>
      <c r="AF62" s="18"/>
      <c r="AG62" s="18"/>
      <c r="AH62" s="18"/>
      <c r="AI62" s="18"/>
      <c r="AJ62" s="18"/>
      <c r="AK62" s="18"/>
      <c r="AL62" s="18"/>
      <c r="AM62" s="18"/>
      <c r="AN62" s="18"/>
      <c r="AO62" s="18"/>
      <c r="AP62" s="18"/>
      <c r="AQ62" s="119">
        <f t="shared" si="6"/>
        <v>0</v>
      </c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18"/>
      <c r="BC62" s="18"/>
      <c r="BD62" s="119">
        <f t="shared" si="7"/>
        <v>0</v>
      </c>
      <c r="BE62" s="18"/>
      <c r="BF62" s="18"/>
      <c r="BG62" s="18"/>
      <c r="BH62" s="18"/>
      <c r="BI62" s="18"/>
      <c r="BJ62" s="18"/>
      <c r="BK62" s="18"/>
      <c r="BL62" s="18"/>
      <c r="BM62" s="18"/>
      <c r="BN62" s="18"/>
      <c r="BO62" s="18"/>
      <c r="BP62" s="18"/>
      <c r="BQ62" s="119">
        <f t="shared" si="8"/>
        <v>0</v>
      </c>
    </row>
    <row r="63" spans="1:69" x14ac:dyDescent="0.3">
      <c r="A63" s="1"/>
      <c r="B63" s="14"/>
      <c r="C63" s="133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99">
        <f t="shared" si="3"/>
        <v>0</v>
      </c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99">
        <f t="shared" si="5"/>
        <v>0</v>
      </c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19">
        <f t="shared" si="6"/>
        <v>0</v>
      </c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119">
        <f t="shared" si="7"/>
        <v>0</v>
      </c>
      <c r="BE63" s="18"/>
      <c r="BF63" s="18"/>
      <c r="BG63" s="18"/>
      <c r="BH63" s="18"/>
      <c r="BI63" s="18"/>
      <c r="BJ63" s="18"/>
      <c r="BK63" s="18"/>
      <c r="BL63" s="18"/>
      <c r="BM63" s="18"/>
      <c r="BN63" s="18"/>
      <c r="BO63" s="18"/>
      <c r="BP63" s="18"/>
      <c r="BQ63" s="119">
        <f t="shared" si="8"/>
        <v>0</v>
      </c>
    </row>
    <row r="64" spans="1:69" x14ac:dyDescent="0.3">
      <c r="A64" s="1"/>
      <c r="B64" s="14"/>
      <c r="C64" s="133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99">
        <f t="shared" si="3"/>
        <v>0</v>
      </c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99">
        <f t="shared" si="5"/>
        <v>0</v>
      </c>
      <c r="AE64" s="18"/>
      <c r="AF64" s="18"/>
      <c r="AG64" s="18"/>
      <c r="AH64" s="18"/>
      <c r="AI64" s="18"/>
      <c r="AJ64" s="18"/>
      <c r="AK64" s="18"/>
      <c r="AL64" s="18"/>
      <c r="AM64" s="18"/>
      <c r="AN64" s="18"/>
      <c r="AO64" s="18"/>
      <c r="AP64" s="18"/>
      <c r="AQ64" s="119">
        <f t="shared" si="6"/>
        <v>0</v>
      </c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119">
        <f t="shared" si="7"/>
        <v>0</v>
      </c>
      <c r="BE64" s="18"/>
      <c r="BF64" s="18"/>
      <c r="BG64" s="18"/>
      <c r="BH64" s="18"/>
      <c r="BI64" s="18"/>
      <c r="BJ64" s="18"/>
      <c r="BK64" s="18"/>
      <c r="BL64" s="18"/>
      <c r="BM64" s="18"/>
      <c r="BN64" s="18"/>
      <c r="BO64" s="18"/>
      <c r="BP64" s="18"/>
      <c r="BQ64" s="119">
        <f t="shared" si="8"/>
        <v>0</v>
      </c>
    </row>
    <row r="65" spans="1:69" x14ac:dyDescent="0.3">
      <c r="A65" s="1"/>
      <c r="B65" s="14"/>
      <c r="C65" s="133"/>
      <c r="D65" s="18"/>
      <c r="E65" s="18">
        <f>$C$65*$D$65</f>
        <v>0</v>
      </c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99">
        <f t="shared" si="3"/>
        <v>0</v>
      </c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99">
        <f t="shared" si="5"/>
        <v>0</v>
      </c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19">
        <f t="shared" si="6"/>
        <v>0</v>
      </c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18"/>
      <c r="BC65" s="18"/>
      <c r="BD65" s="119">
        <f t="shared" si="7"/>
        <v>0</v>
      </c>
      <c r="BE65" s="18"/>
      <c r="BF65" s="18"/>
      <c r="BG65" s="18"/>
      <c r="BH65" s="18"/>
      <c r="BI65" s="18"/>
      <c r="BJ65" s="18"/>
      <c r="BK65" s="18"/>
      <c r="BL65" s="18"/>
      <c r="BM65" s="18"/>
      <c r="BN65" s="18"/>
      <c r="BO65" s="18"/>
      <c r="BP65" s="18"/>
      <c r="BQ65" s="119">
        <f t="shared" si="8"/>
        <v>0</v>
      </c>
    </row>
    <row r="66" spans="1:69" x14ac:dyDescent="0.3">
      <c r="A66" s="1"/>
      <c r="B66" s="14"/>
      <c r="C66" s="133"/>
      <c r="D66" s="18"/>
      <c r="E66" s="18">
        <f>$C$66*$D$66</f>
        <v>0</v>
      </c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99">
        <f t="shared" si="3"/>
        <v>0</v>
      </c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99">
        <f t="shared" si="5"/>
        <v>0</v>
      </c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19">
        <f t="shared" si="6"/>
        <v>0</v>
      </c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19">
        <f t="shared" si="7"/>
        <v>0</v>
      </c>
      <c r="BE66" s="18"/>
      <c r="BF66" s="18"/>
      <c r="BG66" s="18"/>
      <c r="BH66" s="18"/>
      <c r="BI66" s="18"/>
      <c r="BJ66" s="18"/>
      <c r="BK66" s="18"/>
      <c r="BL66" s="18"/>
      <c r="BM66" s="18"/>
      <c r="BN66" s="18"/>
      <c r="BO66" s="18"/>
      <c r="BP66" s="18"/>
      <c r="BQ66" s="119">
        <f t="shared" si="8"/>
        <v>0</v>
      </c>
    </row>
    <row r="67" spans="1:69" x14ac:dyDescent="0.3">
      <c r="A67" s="1"/>
      <c r="B67" s="14"/>
      <c r="C67" s="133"/>
      <c r="D67" s="18"/>
      <c r="E67" s="18">
        <f t="shared" ref="E67:E130" si="33">C67*D67</f>
        <v>0</v>
      </c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99">
        <f t="shared" si="3"/>
        <v>0</v>
      </c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99">
        <f t="shared" si="5"/>
        <v>0</v>
      </c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19">
        <f t="shared" si="6"/>
        <v>0</v>
      </c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119">
        <f t="shared" si="7"/>
        <v>0</v>
      </c>
      <c r="BE67" s="18"/>
      <c r="BF67" s="18"/>
      <c r="BG67" s="18"/>
      <c r="BH67" s="18"/>
      <c r="BI67" s="18"/>
      <c r="BJ67" s="18"/>
      <c r="BK67" s="18"/>
      <c r="BL67" s="18"/>
      <c r="BM67" s="18"/>
      <c r="BN67" s="18"/>
      <c r="BO67" s="18"/>
      <c r="BP67" s="18"/>
      <c r="BQ67" s="119">
        <f t="shared" si="8"/>
        <v>0</v>
      </c>
    </row>
    <row r="68" spans="1:69" x14ac:dyDescent="0.3">
      <c r="A68" s="1"/>
      <c r="B68" s="14"/>
      <c r="C68" s="133"/>
      <c r="D68" s="18"/>
      <c r="E68" s="18">
        <f t="shared" si="33"/>
        <v>0</v>
      </c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99">
        <f t="shared" si="3"/>
        <v>0</v>
      </c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99">
        <f t="shared" si="5"/>
        <v>0</v>
      </c>
      <c r="AE68" s="18"/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18"/>
      <c r="AQ68" s="119">
        <f t="shared" si="6"/>
        <v>0</v>
      </c>
      <c r="AR68" s="18"/>
      <c r="AS68" s="18"/>
      <c r="AT68" s="18"/>
      <c r="AU68" s="18"/>
      <c r="AV68" s="18"/>
      <c r="AW68" s="18"/>
      <c r="AX68" s="18"/>
      <c r="AY68" s="18"/>
      <c r="AZ68" s="18"/>
      <c r="BA68" s="18"/>
      <c r="BB68" s="18"/>
      <c r="BC68" s="18"/>
      <c r="BD68" s="119">
        <f t="shared" si="7"/>
        <v>0</v>
      </c>
      <c r="BE68" s="18"/>
      <c r="BF68" s="18"/>
      <c r="BG68" s="18"/>
      <c r="BH68" s="18"/>
      <c r="BI68" s="18"/>
      <c r="BJ68" s="18"/>
      <c r="BK68" s="18"/>
      <c r="BL68" s="18"/>
      <c r="BM68" s="18"/>
      <c r="BN68" s="18"/>
      <c r="BO68" s="18"/>
      <c r="BP68" s="18"/>
      <c r="BQ68" s="119">
        <f t="shared" si="8"/>
        <v>0</v>
      </c>
    </row>
    <row r="69" spans="1:69" x14ac:dyDescent="0.3">
      <c r="A69" s="1"/>
      <c r="B69" s="14"/>
      <c r="C69" s="133"/>
      <c r="D69" s="18"/>
      <c r="E69" s="18">
        <f t="shared" si="33"/>
        <v>0</v>
      </c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99">
        <f t="shared" si="3"/>
        <v>0</v>
      </c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99">
        <f t="shared" si="5"/>
        <v>0</v>
      </c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19">
        <f t="shared" si="6"/>
        <v>0</v>
      </c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8"/>
      <c r="BD69" s="119">
        <f t="shared" si="7"/>
        <v>0</v>
      </c>
      <c r="BE69" s="18"/>
      <c r="BF69" s="18"/>
      <c r="BG69" s="18"/>
      <c r="BH69" s="18"/>
      <c r="BI69" s="18"/>
      <c r="BJ69" s="18"/>
      <c r="BK69" s="18"/>
      <c r="BL69" s="18"/>
      <c r="BM69" s="18"/>
      <c r="BN69" s="18"/>
      <c r="BO69" s="18"/>
      <c r="BP69" s="18"/>
      <c r="BQ69" s="119">
        <f t="shared" si="8"/>
        <v>0</v>
      </c>
    </row>
    <row r="70" spans="1:69" x14ac:dyDescent="0.3">
      <c r="A70" s="1"/>
      <c r="B70" s="14"/>
      <c r="C70" s="133"/>
      <c r="D70" s="18"/>
      <c r="E70" s="18">
        <f t="shared" si="33"/>
        <v>0</v>
      </c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99">
        <f t="shared" si="3"/>
        <v>0</v>
      </c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99">
        <f t="shared" si="5"/>
        <v>0</v>
      </c>
      <c r="AE70" s="18"/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8"/>
      <c r="AQ70" s="119">
        <f t="shared" si="6"/>
        <v>0</v>
      </c>
      <c r="AR70" s="18"/>
      <c r="AS70" s="18"/>
      <c r="AT70" s="18"/>
      <c r="AU70" s="18"/>
      <c r="AV70" s="18"/>
      <c r="AW70" s="18"/>
      <c r="AX70" s="18"/>
      <c r="AY70" s="18"/>
      <c r="AZ70" s="18"/>
      <c r="BA70" s="18"/>
      <c r="BB70" s="18"/>
      <c r="BC70" s="18"/>
      <c r="BD70" s="119">
        <f t="shared" si="7"/>
        <v>0</v>
      </c>
      <c r="BE70" s="18"/>
      <c r="BF70" s="18"/>
      <c r="BG70" s="18"/>
      <c r="BH70" s="18"/>
      <c r="BI70" s="18"/>
      <c r="BJ70" s="18"/>
      <c r="BK70" s="18"/>
      <c r="BL70" s="18"/>
      <c r="BM70" s="18"/>
      <c r="BN70" s="18"/>
      <c r="BO70" s="18"/>
      <c r="BP70" s="18"/>
      <c r="BQ70" s="119">
        <f t="shared" si="8"/>
        <v>0</v>
      </c>
    </row>
    <row r="71" spans="1:69" x14ac:dyDescent="0.3">
      <c r="A71" s="1"/>
      <c r="B71" s="14"/>
      <c r="C71" s="133"/>
      <c r="D71" s="18"/>
      <c r="E71" s="18">
        <f t="shared" si="33"/>
        <v>0</v>
      </c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99">
        <f t="shared" si="3"/>
        <v>0</v>
      </c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99">
        <f t="shared" si="5"/>
        <v>0</v>
      </c>
      <c r="AE71" s="18"/>
      <c r="AF71" s="18"/>
      <c r="AG71" s="18"/>
      <c r="AH71" s="18"/>
      <c r="AI71" s="18"/>
      <c r="AJ71" s="18"/>
      <c r="AK71" s="18"/>
      <c r="AL71" s="18"/>
      <c r="AM71" s="18"/>
      <c r="AN71" s="18"/>
      <c r="AO71" s="18"/>
      <c r="AP71" s="18"/>
      <c r="AQ71" s="119">
        <f t="shared" si="6"/>
        <v>0</v>
      </c>
      <c r="AR71" s="18"/>
      <c r="AS71" s="18"/>
      <c r="AT71" s="18"/>
      <c r="AU71" s="18"/>
      <c r="AV71" s="18"/>
      <c r="AW71" s="18"/>
      <c r="AX71" s="18"/>
      <c r="AY71" s="18"/>
      <c r="AZ71" s="18"/>
      <c r="BA71" s="18"/>
      <c r="BB71" s="18"/>
      <c r="BC71" s="18"/>
      <c r="BD71" s="119">
        <f t="shared" si="7"/>
        <v>0</v>
      </c>
      <c r="BE71" s="18"/>
      <c r="BF71" s="18"/>
      <c r="BG71" s="18"/>
      <c r="BH71" s="18"/>
      <c r="BI71" s="18"/>
      <c r="BJ71" s="18"/>
      <c r="BK71" s="18"/>
      <c r="BL71" s="18"/>
      <c r="BM71" s="18"/>
      <c r="BN71" s="18"/>
      <c r="BO71" s="18"/>
      <c r="BP71" s="18"/>
      <c r="BQ71" s="119">
        <f t="shared" si="8"/>
        <v>0</v>
      </c>
    </row>
    <row r="72" spans="1:69" x14ac:dyDescent="0.3">
      <c r="A72" s="1"/>
      <c r="B72" s="14"/>
      <c r="C72" s="133"/>
      <c r="D72" s="18"/>
      <c r="E72" s="18">
        <f t="shared" si="33"/>
        <v>0</v>
      </c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99">
        <f t="shared" si="3"/>
        <v>0</v>
      </c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99">
        <f t="shared" si="5"/>
        <v>0</v>
      </c>
      <c r="AE72" s="18"/>
      <c r="AF72" s="18"/>
      <c r="AG72" s="18"/>
      <c r="AH72" s="18"/>
      <c r="AI72" s="18"/>
      <c r="AJ72" s="18"/>
      <c r="AK72" s="18"/>
      <c r="AL72" s="18"/>
      <c r="AM72" s="18"/>
      <c r="AN72" s="18"/>
      <c r="AO72" s="18"/>
      <c r="AP72" s="18"/>
      <c r="AQ72" s="119">
        <f t="shared" si="6"/>
        <v>0</v>
      </c>
      <c r="AR72" s="18"/>
      <c r="AS72" s="18"/>
      <c r="AT72" s="18"/>
      <c r="AU72" s="18"/>
      <c r="AV72" s="18"/>
      <c r="AW72" s="18"/>
      <c r="AX72" s="18"/>
      <c r="AY72" s="18"/>
      <c r="AZ72" s="18"/>
      <c r="BA72" s="18"/>
      <c r="BB72" s="18"/>
      <c r="BC72" s="18"/>
      <c r="BD72" s="119">
        <f t="shared" si="7"/>
        <v>0</v>
      </c>
      <c r="BE72" s="18"/>
      <c r="BF72" s="18"/>
      <c r="BG72" s="18"/>
      <c r="BH72" s="18"/>
      <c r="BI72" s="18"/>
      <c r="BJ72" s="18"/>
      <c r="BK72" s="18"/>
      <c r="BL72" s="18"/>
      <c r="BM72" s="18"/>
      <c r="BN72" s="18"/>
      <c r="BO72" s="18"/>
      <c r="BP72" s="18"/>
      <c r="BQ72" s="119">
        <f t="shared" si="8"/>
        <v>0</v>
      </c>
    </row>
    <row r="73" spans="1:69" x14ac:dyDescent="0.3">
      <c r="A73" s="1"/>
      <c r="B73" s="14"/>
      <c r="C73" s="133"/>
      <c r="D73" s="18"/>
      <c r="E73" s="18">
        <f t="shared" si="33"/>
        <v>0</v>
      </c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99">
        <f t="shared" si="3"/>
        <v>0</v>
      </c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99">
        <f t="shared" si="5"/>
        <v>0</v>
      </c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/>
      <c r="AQ73" s="119">
        <f t="shared" si="6"/>
        <v>0</v>
      </c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18"/>
      <c r="BC73" s="18"/>
      <c r="BD73" s="119">
        <f t="shared" si="7"/>
        <v>0</v>
      </c>
      <c r="BE73" s="18"/>
      <c r="BF73" s="18"/>
      <c r="BG73" s="18"/>
      <c r="BH73" s="18"/>
      <c r="BI73" s="18"/>
      <c r="BJ73" s="18"/>
      <c r="BK73" s="18"/>
      <c r="BL73" s="18"/>
      <c r="BM73" s="18"/>
      <c r="BN73" s="18"/>
      <c r="BO73" s="18"/>
      <c r="BP73" s="18"/>
      <c r="BQ73" s="119">
        <f t="shared" si="8"/>
        <v>0</v>
      </c>
    </row>
    <row r="74" spans="1:69" x14ac:dyDescent="0.3">
      <c r="A74" s="1"/>
      <c r="B74" s="14"/>
      <c r="C74" s="133"/>
      <c r="D74" s="18"/>
      <c r="E74" s="18">
        <f t="shared" si="33"/>
        <v>0</v>
      </c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99">
        <f t="shared" ref="Q74:Q137" si="34">SUM(E74:P74)</f>
        <v>0</v>
      </c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99">
        <f t="shared" ref="AD74:AD137" si="35">SUM(R74:AC74)</f>
        <v>0</v>
      </c>
      <c r="AE74" s="18"/>
      <c r="AF74" s="18"/>
      <c r="AG74" s="18"/>
      <c r="AH74" s="18"/>
      <c r="AI74" s="18"/>
      <c r="AJ74" s="18"/>
      <c r="AK74" s="18"/>
      <c r="AL74" s="18"/>
      <c r="AM74" s="18"/>
      <c r="AN74" s="18"/>
      <c r="AO74" s="18"/>
      <c r="AP74" s="18"/>
      <c r="AQ74" s="119">
        <f t="shared" ref="AQ74:AQ137" si="36">SUM(AE74:AP74)</f>
        <v>0</v>
      </c>
      <c r="AR74" s="18"/>
      <c r="AS74" s="18"/>
      <c r="AT74" s="18"/>
      <c r="AU74" s="18"/>
      <c r="AV74" s="18"/>
      <c r="AW74" s="18"/>
      <c r="AX74" s="18"/>
      <c r="AY74" s="18"/>
      <c r="AZ74" s="18"/>
      <c r="BA74" s="18"/>
      <c r="BB74" s="18"/>
      <c r="BC74" s="18"/>
      <c r="BD74" s="119">
        <f t="shared" ref="BD74:BD137" si="37">SUM(AR74:BC74)</f>
        <v>0</v>
      </c>
      <c r="BE74" s="18"/>
      <c r="BF74" s="18"/>
      <c r="BG74" s="18"/>
      <c r="BH74" s="18"/>
      <c r="BI74" s="18"/>
      <c r="BJ74" s="18"/>
      <c r="BK74" s="18"/>
      <c r="BL74" s="18"/>
      <c r="BM74" s="18"/>
      <c r="BN74" s="18"/>
      <c r="BO74" s="18"/>
      <c r="BP74" s="18"/>
      <c r="BQ74" s="119">
        <f t="shared" ref="BQ74:BQ137" si="38">SUM(BE74:BP74)</f>
        <v>0</v>
      </c>
    </row>
    <row r="75" spans="1:69" x14ac:dyDescent="0.3">
      <c r="A75" s="1"/>
      <c r="B75" s="14"/>
      <c r="C75" s="133"/>
      <c r="D75" s="18"/>
      <c r="E75" s="18">
        <f t="shared" si="33"/>
        <v>0</v>
      </c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99">
        <f t="shared" si="34"/>
        <v>0</v>
      </c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99">
        <f t="shared" si="35"/>
        <v>0</v>
      </c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/>
      <c r="AQ75" s="119">
        <f t="shared" si="36"/>
        <v>0</v>
      </c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18"/>
      <c r="BC75" s="18"/>
      <c r="BD75" s="119">
        <f t="shared" si="37"/>
        <v>0</v>
      </c>
      <c r="BE75" s="18"/>
      <c r="BF75" s="18"/>
      <c r="BG75" s="18"/>
      <c r="BH75" s="18"/>
      <c r="BI75" s="18"/>
      <c r="BJ75" s="18"/>
      <c r="BK75" s="18"/>
      <c r="BL75" s="18"/>
      <c r="BM75" s="18"/>
      <c r="BN75" s="18"/>
      <c r="BO75" s="18"/>
      <c r="BP75" s="18"/>
      <c r="BQ75" s="119">
        <f t="shared" si="38"/>
        <v>0</v>
      </c>
    </row>
    <row r="76" spans="1:69" x14ac:dyDescent="0.3">
      <c r="A76" s="1"/>
      <c r="B76" s="14"/>
      <c r="C76" s="133"/>
      <c r="D76" s="18"/>
      <c r="E76" s="18">
        <f t="shared" si="33"/>
        <v>0</v>
      </c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99">
        <f t="shared" si="34"/>
        <v>0</v>
      </c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99">
        <f t="shared" si="35"/>
        <v>0</v>
      </c>
      <c r="AE76" s="18"/>
      <c r="AF76" s="18"/>
      <c r="AG76" s="18"/>
      <c r="AH76" s="18"/>
      <c r="AI76" s="18"/>
      <c r="AJ76" s="18"/>
      <c r="AK76" s="18"/>
      <c r="AL76" s="18"/>
      <c r="AM76" s="18"/>
      <c r="AN76" s="18"/>
      <c r="AO76" s="18"/>
      <c r="AP76" s="18"/>
      <c r="AQ76" s="119">
        <f t="shared" si="36"/>
        <v>0</v>
      </c>
      <c r="AR76" s="18"/>
      <c r="AS76" s="18"/>
      <c r="AT76" s="18"/>
      <c r="AU76" s="18"/>
      <c r="AV76" s="18"/>
      <c r="AW76" s="18"/>
      <c r="AX76" s="18"/>
      <c r="AY76" s="18"/>
      <c r="AZ76" s="18"/>
      <c r="BA76" s="18"/>
      <c r="BB76" s="18"/>
      <c r="BC76" s="18"/>
      <c r="BD76" s="119">
        <f t="shared" si="37"/>
        <v>0</v>
      </c>
      <c r="BE76" s="18"/>
      <c r="BF76" s="18"/>
      <c r="BG76" s="18"/>
      <c r="BH76" s="18"/>
      <c r="BI76" s="18"/>
      <c r="BJ76" s="18"/>
      <c r="BK76" s="18"/>
      <c r="BL76" s="18"/>
      <c r="BM76" s="18"/>
      <c r="BN76" s="18"/>
      <c r="BO76" s="18"/>
      <c r="BP76" s="18"/>
      <c r="BQ76" s="119">
        <f t="shared" si="38"/>
        <v>0</v>
      </c>
    </row>
    <row r="77" spans="1:69" x14ac:dyDescent="0.3">
      <c r="A77" s="1"/>
      <c r="B77" s="14"/>
      <c r="C77" s="133"/>
      <c r="D77" s="18"/>
      <c r="E77" s="18">
        <f t="shared" si="33"/>
        <v>0</v>
      </c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99">
        <f t="shared" si="34"/>
        <v>0</v>
      </c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99">
        <f t="shared" si="35"/>
        <v>0</v>
      </c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19">
        <f t="shared" si="36"/>
        <v>0</v>
      </c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18"/>
      <c r="BC77" s="18"/>
      <c r="BD77" s="119">
        <f t="shared" si="37"/>
        <v>0</v>
      </c>
      <c r="BE77" s="18"/>
      <c r="BF77" s="18"/>
      <c r="BG77" s="18"/>
      <c r="BH77" s="18"/>
      <c r="BI77" s="18"/>
      <c r="BJ77" s="18"/>
      <c r="BK77" s="18"/>
      <c r="BL77" s="18"/>
      <c r="BM77" s="18"/>
      <c r="BN77" s="18"/>
      <c r="BO77" s="18"/>
      <c r="BP77" s="18"/>
      <c r="BQ77" s="119">
        <f t="shared" si="38"/>
        <v>0</v>
      </c>
    </row>
    <row r="78" spans="1:69" x14ac:dyDescent="0.3">
      <c r="A78" s="1"/>
      <c r="B78" s="14"/>
      <c r="C78" s="133"/>
      <c r="D78" s="18"/>
      <c r="E78" s="18">
        <f t="shared" si="33"/>
        <v>0</v>
      </c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99">
        <f t="shared" si="34"/>
        <v>0</v>
      </c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99">
        <f t="shared" si="35"/>
        <v>0</v>
      </c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  <c r="AQ78" s="119">
        <f t="shared" si="36"/>
        <v>0</v>
      </c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19">
        <f t="shared" si="37"/>
        <v>0</v>
      </c>
      <c r="BE78" s="18"/>
      <c r="BF78" s="18"/>
      <c r="BG78" s="18"/>
      <c r="BH78" s="18"/>
      <c r="BI78" s="18"/>
      <c r="BJ78" s="18"/>
      <c r="BK78" s="18"/>
      <c r="BL78" s="18"/>
      <c r="BM78" s="18"/>
      <c r="BN78" s="18"/>
      <c r="BO78" s="18"/>
      <c r="BP78" s="18"/>
      <c r="BQ78" s="119">
        <f t="shared" si="38"/>
        <v>0</v>
      </c>
    </row>
    <row r="79" spans="1:69" x14ac:dyDescent="0.3">
      <c r="A79" s="1"/>
      <c r="B79" s="14"/>
      <c r="C79" s="133"/>
      <c r="D79" s="18"/>
      <c r="E79" s="18">
        <f t="shared" si="33"/>
        <v>0</v>
      </c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99">
        <f t="shared" si="34"/>
        <v>0</v>
      </c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99">
        <f t="shared" si="35"/>
        <v>0</v>
      </c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19">
        <f t="shared" si="36"/>
        <v>0</v>
      </c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8"/>
      <c r="BD79" s="119">
        <f t="shared" si="37"/>
        <v>0</v>
      </c>
      <c r="BE79" s="18"/>
      <c r="BF79" s="18"/>
      <c r="BG79" s="18"/>
      <c r="BH79" s="18"/>
      <c r="BI79" s="18"/>
      <c r="BJ79" s="18"/>
      <c r="BK79" s="18"/>
      <c r="BL79" s="18"/>
      <c r="BM79" s="18"/>
      <c r="BN79" s="18"/>
      <c r="BO79" s="18"/>
      <c r="BP79" s="18"/>
      <c r="BQ79" s="119">
        <f t="shared" si="38"/>
        <v>0</v>
      </c>
    </row>
    <row r="80" spans="1:69" x14ac:dyDescent="0.3">
      <c r="A80" s="1"/>
      <c r="B80" s="14"/>
      <c r="C80" s="133"/>
      <c r="D80" s="18"/>
      <c r="E80" s="18">
        <f t="shared" si="33"/>
        <v>0</v>
      </c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99">
        <f t="shared" si="34"/>
        <v>0</v>
      </c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99">
        <f t="shared" si="35"/>
        <v>0</v>
      </c>
      <c r="AE80" s="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/>
      <c r="AQ80" s="119">
        <f t="shared" si="36"/>
        <v>0</v>
      </c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119">
        <f t="shared" si="37"/>
        <v>0</v>
      </c>
      <c r="BE80" s="18"/>
      <c r="BF80" s="18"/>
      <c r="BG80" s="18"/>
      <c r="BH80" s="18"/>
      <c r="BI80" s="18"/>
      <c r="BJ80" s="18"/>
      <c r="BK80" s="18"/>
      <c r="BL80" s="18"/>
      <c r="BM80" s="18"/>
      <c r="BN80" s="18"/>
      <c r="BO80" s="18"/>
      <c r="BP80" s="18"/>
      <c r="BQ80" s="119">
        <f t="shared" si="38"/>
        <v>0</v>
      </c>
    </row>
    <row r="81" spans="1:69" x14ac:dyDescent="0.3">
      <c r="A81" s="1"/>
      <c r="B81" s="14"/>
      <c r="C81" s="133"/>
      <c r="D81" s="18"/>
      <c r="E81" s="18">
        <f t="shared" si="33"/>
        <v>0</v>
      </c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99">
        <f t="shared" si="34"/>
        <v>0</v>
      </c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99">
        <f t="shared" si="35"/>
        <v>0</v>
      </c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8"/>
      <c r="AQ81" s="119">
        <f t="shared" si="36"/>
        <v>0</v>
      </c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18"/>
      <c r="BC81" s="18"/>
      <c r="BD81" s="119">
        <f t="shared" si="37"/>
        <v>0</v>
      </c>
      <c r="BE81" s="18"/>
      <c r="BF81" s="18"/>
      <c r="BG81" s="18"/>
      <c r="BH81" s="18"/>
      <c r="BI81" s="18"/>
      <c r="BJ81" s="18"/>
      <c r="BK81" s="18"/>
      <c r="BL81" s="18"/>
      <c r="BM81" s="18"/>
      <c r="BN81" s="18"/>
      <c r="BO81" s="18"/>
      <c r="BP81" s="18"/>
      <c r="BQ81" s="119">
        <f t="shared" si="38"/>
        <v>0</v>
      </c>
    </row>
    <row r="82" spans="1:69" x14ac:dyDescent="0.3">
      <c r="A82" s="1"/>
      <c r="B82" s="14"/>
      <c r="C82" s="133"/>
      <c r="D82" s="18"/>
      <c r="E82" s="18">
        <f t="shared" si="33"/>
        <v>0</v>
      </c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99">
        <f t="shared" si="34"/>
        <v>0</v>
      </c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99">
        <f t="shared" si="35"/>
        <v>0</v>
      </c>
      <c r="AE82" s="18"/>
      <c r="AF82" s="18"/>
      <c r="AG82" s="18"/>
      <c r="AH82" s="18"/>
      <c r="AI82" s="18"/>
      <c r="AJ82" s="18"/>
      <c r="AK82" s="18"/>
      <c r="AL82" s="18"/>
      <c r="AM82" s="18"/>
      <c r="AN82" s="18"/>
      <c r="AO82" s="18"/>
      <c r="AP82" s="18"/>
      <c r="AQ82" s="119">
        <f t="shared" si="36"/>
        <v>0</v>
      </c>
      <c r="AR82" s="18"/>
      <c r="AS82" s="18"/>
      <c r="AT82" s="18"/>
      <c r="AU82" s="18"/>
      <c r="AV82" s="18"/>
      <c r="AW82" s="18"/>
      <c r="AX82" s="18"/>
      <c r="AY82" s="18"/>
      <c r="AZ82" s="18"/>
      <c r="BA82" s="18"/>
      <c r="BB82" s="18"/>
      <c r="BC82" s="18"/>
      <c r="BD82" s="119">
        <f t="shared" si="37"/>
        <v>0</v>
      </c>
      <c r="BE82" s="18"/>
      <c r="BF82" s="18"/>
      <c r="BG82" s="18"/>
      <c r="BH82" s="18"/>
      <c r="BI82" s="18"/>
      <c r="BJ82" s="18"/>
      <c r="BK82" s="18"/>
      <c r="BL82" s="18"/>
      <c r="BM82" s="18"/>
      <c r="BN82" s="18"/>
      <c r="BO82" s="18"/>
      <c r="BP82" s="18"/>
      <c r="BQ82" s="119">
        <f t="shared" si="38"/>
        <v>0</v>
      </c>
    </row>
    <row r="83" spans="1:69" x14ac:dyDescent="0.3">
      <c r="A83" s="1"/>
      <c r="B83" s="14"/>
      <c r="C83" s="133"/>
      <c r="D83" s="18"/>
      <c r="E83" s="18">
        <f t="shared" si="33"/>
        <v>0</v>
      </c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99">
        <f t="shared" si="34"/>
        <v>0</v>
      </c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99">
        <f t="shared" si="35"/>
        <v>0</v>
      </c>
      <c r="AE83" s="18"/>
      <c r="AF83" s="18"/>
      <c r="AG83" s="18"/>
      <c r="AH83" s="18"/>
      <c r="AI83" s="18"/>
      <c r="AJ83" s="18"/>
      <c r="AK83" s="18"/>
      <c r="AL83" s="18"/>
      <c r="AM83" s="18"/>
      <c r="AN83" s="18"/>
      <c r="AO83" s="18"/>
      <c r="AP83" s="18"/>
      <c r="AQ83" s="119">
        <f t="shared" si="36"/>
        <v>0</v>
      </c>
      <c r="AR83" s="18"/>
      <c r="AS83" s="18"/>
      <c r="AT83" s="18"/>
      <c r="AU83" s="18"/>
      <c r="AV83" s="18"/>
      <c r="AW83" s="18"/>
      <c r="AX83" s="18"/>
      <c r="AY83" s="18"/>
      <c r="AZ83" s="18"/>
      <c r="BA83" s="18"/>
      <c r="BB83" s="18"/>
      <c r="BC83" s="18"/>
      <c r="BD83" s="119">
        <f t="shared" si="37"/>
        <v>0</v>
      </c>
      <c r="BE83" s="18"/>
      <c r="BF83" s="18"/>
      <c r="BG83" s="18"/>
      <c r="BH83" s="18"/>
      <c r="BI83" s="18"/>
      <c r="BJ83" s="18"/>
      <c r="BK83" s="18"/>
      <c r="BL83" s="18"/>
      <c r="BM83" s="18"/>
      <c r="BN83" s="18"/>
      <c r="BO83" s="18"/>
      <c r="BP83" s="18"/>
      <c r="BQ83" s="119">
        <f t="shared" si="38"/>
        <v>0</v>
      </c>
    </row>
    <row r="84" spans="1:69" x14ac:dyDescent="0.3">
      <c r="A84" s="1"/>
      <c r="B84" s="14"/>
      <c r="C84" s="133"/>
      <c r="D84" s="18"/>
      <c r="E84" s="18">
        <f t="shared" si="33"/>
        <v>0</v>
      </c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99">
        <f t="shared" si="34"/>
        <v>0</v>
      </c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99">
        <f t="shared" si="35"/>
        <v>0</v>
      </c>
      <c r="AE84" s="18"/>
      <c r="AF84" s="18"/>
      <c r="AG84" s="18"/>
      <c r="AH84" s="18"/>
      <c r="AI84" s="18"/>
      <c r="AJ84" s="18"/>
      <c r="AK84" s="18"/>
      <c r="AL84" s="18"/>
      <c r="AM84" s="18"/>
      <c r="AN84" s="18"/>
      <c r="AO84" s="18"/>
      <c r="AP84" s="18"/>
      <c r="AQ84" s="119">
        <f t="shared" si="36"/>
        <v>0</v>
      </c>
      <c r="AR84" s="18"/>
      <c r="AS84" s="18"/>
      <c r="AT84" s="18"/>
      <c r="AU84" s="18"/>
      <c r="AV84" s="18"/>
      <c r="AW84" s="18"/>
      <c r="AX84" s="18"/>
      <c r="AY84" s="18"/>
      <c r="AZ84" s="18"/>
      <c r="BA84" s="18"/>
      <c r="BB84" s="18"/>
      <c r="BC84" s="18"/>
      <c r="BD84" s="119">
        <f t="shared" si="37"/>
        <v>0</v>
      </c>
      <c r="BE84" s="18"/>
      <c r="BF84" s="18"/>
      <c r="BG84" s="18"/>
      <c r="BH84" s="18"/>
      <c r="BI84" s="18"/>
      <c r="BJ84" s="18"/>
      <c r="BK84" s="18"/>
      <c r="BL84" s="18"/>
      <c r="BM84" s="18"/>
      <c r="BN84" s="18"/>
      <c r="BO84" s="18"/>
      <c r="BP84" s="18"/>
      <c r="BQ84" s="119">
        <f t="shared" si="38"/>
        <v>0</v>
      </c>
    </row>
    <row r="85" spans="1:69" x14ac:dyDescent="0.3">
      <c r="A85" s="1"/>
      <c r="B85" s="14"/>
      <c r="C85" s="133"/>
      <c r="D85" s="18"/>
      <c r="E85" s="18">
        <f t="shared" si="33"/>
        <v>0</v>
      </c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99">
        <f t="shared" si="34"/>
        <v>0</v>
      </c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99">
        <f t="shared" si="35"/>
        <v>0</v>
      </c>
      <c r="AE85" s="18"/>
      <c r="AF85" s="18"/>
      <c r="AG85" s="18"/>
      <c r="AH85" s="18"/>
      <c r="AI85" s="18"/>
      <c r="AJ85" s="18"/>
      <c r="AK85" s="18"/>
      <c r="AL85" s="18"/>
      <c r="AM85" s="18"/>
      <c r="AN85" s="18"/>
      <c r="AO85" s="18"/>
      <c r="AP85" s="18"/>
      <c r="AQ85" s="119">
        <f t="shared" si="36"/>
        <v>0</v>
      </c>
      <c r="AR85" s="18"/>
      <c r="AS85" s="18"/>
      <c r="AT85" s="18"/>
      <c r="AU85" s="18"/>
      <c r="AV85" s="18"/>
      <c r="AW85" s="18"/>
      <c r="AX85" s="18"/>
      <c r="AY85" s="18"/>
      <c r="AZ85" s="18"/>
      <c r="BA85" s="18"/>
      <c r="BB85" s="18"/>
      <c r="BC85" s="18"/>
      <c r="BD85" s="119">
        <f t="shared" si="37"/>
        <v>0</v>
      </c>
      <c r="BE85" s="18"/>
      <c r="BF85" s="18"/>
      <c r="BG85" s="18"/>
      <c r="BH85" s="18"/>
      <c r="BI85" s="18"/>
      <c r="BJ85" s="18"/>
      <c r="BK85" s="18"/>
      <c r="BL85" s="18"/>
      <c r="BM85" s="18"/>
      <c r="BN85" s="18"/>
      <c r="BO85" s="18"/>
      <c r="BP85" s="18"/>
      <c r="BQ85" s="119">
        <f t="shared" si="38"/>
        <v>0</v>
      </c>
    </row>
    <row r="86" spans="1:69" x14ac:dyDescent="0.3">
      <c r="A86" s="1"/>
      <c r="B86" s="14"/>
      <c r="C86" s="133"/>
      <c r="D86" s="18"/>
      <c r="E86" s="18">
        <f t="shared" si="33"/>
        <v>0</v>
      </c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99">
        <f t="shared" si="34"/>
        <v>0</v>
      </c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99">
        <f t="shared" si="35"/>
        <v>0</v>
      </c>
      <c r="AE86" s="18"/>
      <c r="AF86" s="18"/>
      <c r="AG86" s="18"/>
      <c r="AH86" s="18"/>
      <c r="AI86" s="18"/>
      <c r="AJ86" s="18"/>
      <c r="AK86" s="18"/>
      <c r="AL86" s="18"/>
      <c r="AM86" s="18"/>
      <c r="AN86" s="18"/>
      <c r="AO86" s="18"/>
      <c r="AP86" s="18"/>
      <c r="AQ86" s="119">
        <f t="shared" si="36"/>
        <v>0</v>
      </c>
      <c r="AR86" s="18"/>
      <c r="AS86" s="18"/>
      <c r="AT86" s="18"/>
      <c r="AU86" s="18"/>
      <c r="AV86" s="18"/>
      <c r="AW86" s="18"/>
      <c r="AX86" s="18"/>
      <c r="AY86" s="18"/>
      <c r="AZ86" s="18"/>
      <c r="BA86" s="18"/>
      <c r="BB86" s="18"/>
      <c r="BC86" s="18"/>
      <c r="BD86" s="119">
        <f t="shared" si="37"/>
        <v>0</v>
      </c>
      <c r="BE86" s="18"/>
      <c r="BF86" s="18"/>
      <c r="BG86" s="18"/>
      <c r="BH86" s="18"/>
      <c r="BI86" s="18"/>
      <c r="BJ86" s="18"/>
      <c r="BK86" s="18"/>
      <c r="BL86" s="18"/>
      <c r="BM86" s="18"/>
      <c r="BN86" s="18"/>
      <c r="BO86" s="18"/>
      <c r="BP86" s="18"/>
      <c r="BQ86" s="119">
        <f t="shared" si="38"/>
        <v>0</v>
      </c>
    </row>
    <row r="87" spans="1:69" x14ac:dyDescent="0.3">
      <c r="A87" s="1"/>
      <c r="B87" s="14"/>
      <c r="C87" s="133"/>
      <c r="D87" s="18"/>
      <c r="E87" s="18">
        <f t="shared" si="33"/>
        <v>0</v>
      </c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99">
        <f t="shared" si="34"/>
        <v>0</v>
      </c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99">
        <f t="shared" si="35"/>
        <v>0</v>
      </c>
      <c r="AE87" s="18"/>
      <c r="AF87" s="18"/>
      <c r="AG87" s="18"/>
      <c r="AH87" s="18"/>
      <c r="AI87" s="18"/>
      <c r="AJ87" s="18"/>
      <c r="AK87" s="18"/>
      <c r="AL87" s="18"/>
      <c r="AM87" s="18"/>
      <c r="AN87" s="18"/>
      <c r="AO87" s="18"/>
      <c r="AP87" s="18"/>
      <c r="AQ87" s="119">
        <f t="shared" si="36"/>
        <v>0</v>
      </c>
      <c r="AR87" s="18"/>
      <c r="AS87" s="18"/>
      <c r="AT87" s="18"/>
      <c r="AU87" s="18"/>
      <c r="AV87" s="18"/>
      <c r="AW87" s="18"/>
      <c r="AX87" s="18"/>
      <c r="AY87" s="18"/>
      <c r="AZ87" s="18"/>
      <c r="BA87" s="18"/>
      <c r="BB87" s="18"/>
      <c r="BC87" s="18"/>
      <c r="BD87" s="119">
        <f t="shared" si="37"/>
        <v>0</v>
      </c>
      <c r="BE87" s="18"/>
      <c r="BF87" s="18"/>
      <c r="BG87" s="18"/>
      <c r="BH87" s="18"/>
      <c r="BI87" s="18"/>
      <c r="BJ87" s="18"/>
      <c r="BK87" s="18"/>
      <c r="BL87" s="18"/>
      <c r="BM87" s="18"/>
      <c r="BN87" s="18"/>
      <c r="BO87" s="18"/>
      <c r="BP87" s="18"/>
      <c r="BQ87" s="119">
        <f t="shared" si="38"/>
        <v>0</v>
      </c>
    </row>
    <row r="88" spans="1:69" x14ac:dyDescent="0.3">
      <c r="A88" s="1"/>
      <c r="B88" s="14"/>
      <c r="C88" s="133"/>
      <c r="D88" s="18"/>
      <c r="E88" s="18">
        <f t="shared" si="33"/>
        <v>0</v>
      </c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99">
        <f t="shared" si="34"/>
        <v>0</v>
      </c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99">
        <f t="shared" si="35"/>
        <v>0</v>
      </c>
      <c r="AE88" s="18"/>
      <c r="AF88" s="18"/>
      <c r="AG88" s="18"/>
      <c r="AH88" s="18"/>
      <c r="AI88" s="18"/>
      <c r="AJ88" s="18"/>
      <c r="AK88" s="18"/>
      <c r="AL88" s="18"/>
      <c r="AM88" s="18"/>
      <c r="AN88" s="18"/>
      <c r="AO88" s="18"/>
      <c r="AP88" s="18"/>
      <c r="AQ88" s="119">
        <f t="shared" si="36"/>
        <v>0</v>
      </c>
      <c r="AR88" s="18"/>
      <c r="AS88" s="18"/>
      <c r="AT88" s="18"/>
      <c r="AU88" s="18"/>
      <c r="AV88" s="18"/>
      <c r="AW88" s="18"/>
      <c r="AX88" s="18"/>
      <c r="AY88" s="18"/>
      <c r="AZ88" s="18"/>
      <c r="BA88" s="18"/>
      <c r="BB88" s="18"/>
      <c r="BC88" s="18"/>
      <c r="BD88" s="119">
        <f t="shared" si="37"/>
        <v>0</v>
      </c>
      <c r="BE88" s="18"/>
      <c r="BF88" s="18"/>
      <c r="BG88" s="18"/>
      <c r="BH88" s="18"/>
      <c r="BI88" s="18"/>
      <c r="BJ88" s="18"/>
      <c r="BK88" s="18"/>
      <c r="BL88" s="18"/>
      <c r="BM88" s="18"/>
      <c r="BN88" s="18"/>
      <c r="BO88" s="18"/>
      <c r="BP88" s="18"/>
      <c r="BQ88" s="119">
        <f t="shared" si="38"/>
        <v>0</v>
      </c>
    </row>
    <row r="89" spans="1:69" x14ac:dyDescent="0.3">
      <c r="A89" s="1"/>
      <c r="B89" s="14"/>
      <c r="C89" s="133"/>
      <c r="D89" s="18"/>
      <c r="E89" s="18">
        <f t="shared" si="33"/>
        <v>0</v>
      </c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99">
        <f t="shared" si="34"/>
        <v>0</v>
      </c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99">
        <f t="shared" si="35"/>
        <v>0</v>
      </c>
      <c r="AE89" s="18"/>
      <c r="AF89" s="18"/>
      <c r="AG89" s="18"/>
      <c r="AH89" s="18"/>
      <c r="AI89" s="18"/>
      <c r="AJ89" s="18"/>
      <c r="AK89" s="18"/>
      <c r="AL89" s="18"/>
      <c r="AM89" s="18"/>
      <c r="AN89" s="18"/>
      <c r="AO89" s="18"/>
      <c r="AP89" s="18"/>
      <c r="AQ89" s="119">
        <f t="shared" si="36"/>
        <v>0</v>
      </c>
      <c r="AR89" s="18"/>
      <c r="AS89" s="18"/>
      <c r="AT89" s="18"/>
      <c r="AU89" s="18"/>
      <c r="AV89" s="18"/>
      <c r="AW89" s="18"/>
      <c r="AX89" s="18"/>
      <c r="AY89" s="18"/>
      <c r="AZ89" s="18"/>
      <c r="BA89" s="18"/>
      <c r="BB89" s="18"/>
      <c r="BC89" s="18"/>
      <c r="BD89" s="119">
        <f t="shared" si="37"/>
        <v>0</v>
      </c>
      <c r="BE89" s="18"/>
      <c r="BF89" s="18"/>
      <c r="BG89" s="18"/>
      <c r="BH89" s="18"/>
      <c r="BI89" s="18"/>
      <c r="BJ89" s="18"/>
      <c r="BK89" s="18"/>
      <c r="BL89" s="18"/>
      <c r="BM89" s="18"/>
      <c r="BN89" s="18"/>
      <c r="BO89" s="18"/>
      <c r="BP89" s="18"/>
      <c r="BQ89" s="119">
        <f t="shared" si="38"/>
        <v>0</v>
      </c>
    </row>
    <row r="90" spans="1:69" x14ac:dyDescent="0.3">
      <c r="A90" s="1"/>
      <c r="B90" s="14"/>
      <c r="C90" s="133"/>
      <c r="D90" s="18"/>
      <c r="E90" s="18">
        <f t="shared" si="33"/>
        <v>0</v>
      </c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99">
        <f t="shared" si="34"/>
        <v>0</v>
      </c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99">
        <f t="shared" si="35"/>
        <v>0</v>
      </c>
      <c r="AE90" s="18"/>
      <c r="AF90" s="18"/>
      <c r="AG90" s="18"/>
      <c r="AH90" s="18"/>
      <c r="AI90" s="18"/>
      <c r="AJ90" s="18"/>
      <c r="AK90" s="18"/>
      <c r="AL90" s="18"/>
      <c r="AM90" s="18"/>
      <c r="AN90" s="18"/>
      <c r="AO90" s="18"/>
      <c r="AP90" s="18"/>
      <c r="AQ90" s="119">
        <f t="shared" si="36"/>
        <v>0</v>
      </c>
      <c r="AR90" s="18"/>
      <c r="AS90" s="18"/>
      <c r="AT90" s="18"/>
      <c r="AU90" s="18"/>
      <c r="AV90" s="18"/>
      <c r="AW90" s="18"/>
      <c r="AX90" s="18"/>
      <c r="AY90" s="18"/>
      <c r="AZ90" s="18"/>
      <c r="BA90" s="18"/>
      <c r="BB90" s="18"/>
      <c r="BC90" s="18"/>
      <c r="BD90" s="119">
        <f t="shared" si="37"/>
        <v>0</v>
      </c>
      <c r="BE90" s="18"/>
      <c r="BF90" s="18"/>
      <c r="BG90" s="18"/>
      <c r="BH90" s="18"/>
      <c r="BI90" s="18"/>
      <c r="BJ90" s="18"/>
      <c r="BK90" s="18"/>
      <c r="BL90" s="18"/>
      <c r="BM90" s="18"/>
      <c r="BN90" s="18"/>
      <c r="BO90" s="18"/>
      <c r="BP90" s="18"/>
      <c r="BQ90" s="119">
        <f t="shared" si="38"/>
        <v>0</v>
      </c>
    </row>
    <row r="91" spans="1:69" x14ac:dyDescent="0.3">
      <c r="A91" s="1"/>
      <c r="B91" s="14"/>
      <c r="C91" s="133"/>
      <c r="D91" s="18"/>
      <c r="E91" s="18">
        <f t="shared" si="33"/>
        <v>0</v>
      </c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99">
        <f t="shared" si="34"/>
        <v>0</v>
      </c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99">
        <f t="shared" si="35"/>
        <v>0</v>
      </c>
      <c r="AE91" s="18"/>
      <c r="AF91" s="18"/>
      <c r="AG91" s="18"/>
      <c r="AH91" s="18"/>
      <c r="AI91" s="18"/>
      <c r="AJ91" s="18"/>
      <c r="AK91" s="18"/>
      <c r="AL91" s="18"/>
      <c r="AM91" s="18"/>
      <c r="AN91" s="18"/>
      <c r="AO91" s="18"/>
      <c r="AP91" s="18"/>
      <c r="AQ91" s="119">
        <f t="shared" si="36"/>
        <v>0</v>
      </c>
      <c r="AR91" s="18"/>
      <c r="AS91" s="18"/>
      <c r="AT91" s="18"/>
      <c r="AU91" s="18"/>
      <c r="AV91" s="18"/>
      <c r="AW91" s="18"/>
      <c r="AX91" s="18"/>
      <c r="AY91" s="18"/>
      <c r="AZ91" s="18"/>
      <c r="BA91" s="18"/>
      <c r="BB91" s="18"/>
      <c r="BC91" s="18"/>
      <c r="BD91" s="119">
        <f t="shared" si="37"/>
        <v>0</v>
      </c>
      <c r="BE91" s="18"/>
      <c r="BF91" s="18"/>
      <c r="BG91" s="18"/>
      <c r="BH91" s="18"/>
      <c r="BI91" s="18"/>
      <c r="BJ91" s="18"/>
      <c r="BK91" s="18"/>
      <c r="BL91" s="18"/>
      <c r="BM91" s="18"/>
      <c r="BN91" s="18"/>
      <c r="BO91" s="18"/>
      <c r="BP91" s="18"/>
      <c r="BQ91" s="119">
        <f t="shared" si="38"/>
        <v>0</v>
      </c>
    </row>
    <row r="92" spans="1:69" x14ac:dyDescent="0.3">
      <c r="A92" s="1"/>
      <c r="B92" s="14"/>
      <c r="C92" s="133"/>
      <c r="D92" s="18"/>
      <c r="E92" s="18">
        <f t="shared" si="33"/>
        <v>0</v>
      </c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99">
        <f t="shared" si="34"/>
        <v>0</v>
      </c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99">
        <f t="shared" si="35"/>
        <v>0</v>
      </c>
      <c r="AE92" s="18"/>
      <c r="AF92" s="18"/>
      <c r="AG92" s="18"/>
      <c r="AH92" s="18"/>
      <c r="AI92" s="18"/>
      <c r="AJ92" s="18"/>
      <c r="AK92" s="18"/>
      <c r="AL92" s="18"/>
      <c r="AM92" s="18"/>
      <c r="AN92" s="18"/>
      <c r="AO92" s="18"/>
      <c r="AP92" s="18"/>
      <c r="AQ92" s="119">
        <f t="shared" si="36"/>
        <v>0</v>
      </c>
      <c r="AR92" s="18"/>
      <c r="AS92" s="18"/>
      <c r="AT92" s="18"/>
      <c r="AU92" s="18"/>
      <c r="AV92" s="18"/>
      <c r="AW92" s="18"/>
      <c r="AX92" s="18"/>
      <c r="AY92" s="18"/>
      <c r="AZ92" s="18"/>
      <c r="BA92" s="18"/>
      <c r="BB92" s="18"/>
      <c r="BC92" s="18"/>
      <c r="BD92" s="119">
        <f t="shared" si="37"/>
        <v>0</v>
      </c>
      <c r="BE92" s="18"/>
      <c r="BF92" s="18"/>
      <c r="BG92" s="18"/>
      <c r="BH92" s="18"/>
      <c r="BI92" s="18"/>
      <c r="BJ92" s="18"/>
      <c r="BK92" s="18"/>
      <c r="BL92" s="18"/>
      <c r="BM92" s="18"/>
      <c r="BN92" s="18"/>
      <c r="BO92" s="18"/>
      <c r="BP92" s="18"/>
      <c r="BQ92" s="119">
        <f t="shared" si="38"/>
        <v>0</v>
      </c>
    </row>
    <row r="93" spans="1:69" x14ac:dyDescent="0.3">
      <c r="A93" s="1"/>
      <c r="B93" s="14"/>
      <c r="C93" s="133"/>
      <c r="D93" s="18"/>
      <c r="E93" s="18">
        <f t="shared" si="33"/>
        <v>0</v>
      </c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99">
        <f t="shared" si="34"/>
        <v>0</v>
      </c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99">
        <f t="shared" si="35"/>
        <v>0</v>
      </c>
      <c r="AE93" s="18"/>
      <c r="AF93" s="18"/>
      <c r="AG93" s="18"/>
      <c r="AH93" s="18"/>
      <c r="AI93" s="18"/>
      <c r="AJ93" s="18"/>
      <c r="AK93" s="18"/>
      <c r="AL93" s="18"/>
      <c r="AM93" s="18"/>
      <c r="AN93" s="18"/>
      <c r="AO93" s="18"/>
      <c r="AP93" s="18"/>
      <c r="AQ93" s="119">
        <f t="shared" si="36"/>
        <v>0</v>
      </c>
      <c r="AR93" s="18"/>
      <c r="AS93" s="18"/>
      <c r="AT93" s="18"/>
      <c r="AU93" s="18"/>
      <c r="AV93" s="18"/>
      <c r="AW93" s="18"/>
      <c r="AX93" s="18"/>
      <c r="AY93" s="18"/>
      <c r="AZ93" s="18"/>
      <c r="BA93" s="18"/>
      <c r="BB93" s="18"/>
      <c r="BC93" s="18"/>
      <c r="BD93" s="119">
        <f t="shared" si="37"/>
        <v>0</v>
      </c>
      <c r="BE93" s="18"/>
      <c r="BF93" s="18"/>
      <c r="BG93" s="18"/>
      <c r="BH93" s="18"/>
      <c r="BI93" s="18"/>
      <c r="BJ93" s="18"/>
      <c r="BK93" s="18"/>
      <c r="BL93" s="18"/>
      <c r="BM93" s="18"/>
      <c r="BN93" s="18"/>
      <c r="BO93" s="18"/>
      <c r="BP93" s="18"/>
      <c r="BQ93" s="119">
        <f t="shared" si="38"/>
        <v>0</v>
      </c>
    </row>
    <row r="94" spans="1:69" x14ac:dyDescent="0.3">
      <c r="A94" s="1"/>
      <c r="B94" s="14"/>
      <c r="C94" s="133"/>
      <c r="D94" s="18"/>
      <c r="E94" s="18">
        <f t="shared" si="33"/>
        <v>0</v>
      </c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99">
        <f t="shared" si="34"/>
        <v>0</v>
      </c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99">
        <f t="shared" si="35"/>
        <v>0</v>
      </c>
      <c r="AE94" s="18"/>
      <c r="AF94" s="18"/>
      <c r="AG94" s="18"/>
      <c r="AH94" s="18"/>
      <c r="AI94" s="18"/>
      <c r="AJ94" s="18"/>
      <c r="AK94" s="18"/>
      <c r="AL94" s="18"/>
      <c r="AM94" s="18"/>
      <c r="AN94" s="18"/>
      <c r="AO94" s="18"/>
      <c r="AP94" s="18"/>
      <c r="AQ94" s="119">
        <f t="shared" si="36"/>
        <v>0</v>
      </c>
      <c r="AR94" s="18"/>
      <c r="AS94" s="18"/>
      <c r="AT94" s="18"/>
      <c r="AU94" s="18"/>
      <c r="AV94" s="18"/>
      <c r="AW94" s="18"/>
      <c r="AX94" s="18"/>
      <c r="AY94" s="18"/>
      <c r="AZ94" s="18"/>
      <c r="BA94" s="18"/>
      <c r="BB94" s="18"/>
      <c r="BC94" s="18"/>
      <c r="BD94" s="119">
        <f t="shared" si="37"/>
        <v>0</v>
      </c>
      <c r="BE94" s="18"/>
      <c r="BF94" s="18"/>
      <c r="BG94" s="18"/>
      <c r="BH94" s="18"/>
      <c r="BI94" s="18"/>
      <c r="BJ94" s="18"/>
      <c r="BK94" s="18"/>
      <c r="BL94" s="18"/>
      <c r="BM94" s="18"/>
      <c r="BN94" s="18"/>
      <c r="BO94" s="18"/>
      <c r="BP94" s="18"/>
      <c r="BQ94" s="119">
        <f t="shared" si="38"/>
        <v>0</v>
      </c>
    </row>
    <row r="95" spans="1:69" x14ac:dyDescent="0.3">
      <c r="A95" s="1"/>
      <c r="B95" s="14"/>
      <c r="C95" s="133"/>
      <c r="D95" s="18"/>
      <c r="E95" s="18">
        <f t="shared" si="33"/>
        <v>0</v>
      </c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99">
        <f t="shared" si="34"/>
        <v>0</v>
      </c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99">
        <f t="shared" si="35"/>
        <v>0</v>
      </c>
      <c r="AE95" s="18"/>
      <c r="AF95" s="18"/>
      <c r="AG95" s="18"/>
      <c r="AH95" s="18"/>
      <c r="AI95" s="18"/>
      <c r="AJ95" s="18"/>
      <c r="AK95" s="18"/>
      <c r="AL95" s="18"/>
      <c r="AM95" s="18"/>
      <c r="AN95" s="18"/>
      <c r="AO95" s="18"/>
      <c r="AP95" s="18"/>
      <c r="AQ95" s="119">
        <f t="shared" si="36"/>
        <v>0</v>
      </c>
      <c r="AR95" s="18"/>
      <c r="AS95" s="18"/>
      <c r="AT95" s="18"/>
      <c r="AU95" s="18"/>
      <c r="AV95" s="18"/>
      <c r="AW95" s="18"/>
      <c r="AX95" s="18"/>
      <c r="AY95" s="18"/>
      <c r="AZ95" s="18"/>
      <c r="BA95" s="18"/>
      <c r="BB95" s="18"/>
      <c r="BC95" s="18"/>
      <c r="BD95" s="119">
        <f t="shared" si="37"/>
        <v>0</v>
      </c>
      <c r="BE95" s="18"/>
      <c r="BF95" s="18"/>
      <c r="BG95" s="18"/>
      <c r="BH95" s="18"/>
      <c r="BI95" s="18"/>
      <c r="BJ95" s="18"/>
      <c r="BK95" s="18"/>
      <c r="BL95" s="18"/>
      <c r="BM95" s="18"/>
      <c r="BN95" s="18"/>
      <c r="BO95" s="18"/>
      <c r="BP95" s="18"/>
      <c r="BQ95" s="119">
        <f t="shared" si="38"/>
        <v>0</v>
      </c>
    </row>
    <row r="96" spans="1:69" x14ac:dyDescent="0.3">
      <c r="A96" s="1"/>
      <c r="B96" s="14"/>
      <c r="C96" s="133"/>
      <c r="D96" s="18"/>
      <c r="E96" s="18">
        <f t="shared" si="33"/>
        <v>0</v>
      </c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99">
        <f t="shared" si="34"/>
        <v>0</v>
      </c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99">
        <f t="shared" si="35"/>
        <v>0</v>
      </c>
      <c r="AE96" s="18"/>
      <c r="AF96" s="18"/>
      <c r="AG96" s="18"/>
      <c r="AH96" s="18"/>
      <c r="AI96" s="18"/>
      <c r="AJ96" s="18"/>
      <c r="AK96" s="18"/>
      <c r="AL96" s="18"/>
      <c r="AM96" s="18"/>
      <c r="AN96" s="18"/>
      <c r="AO96" s="18"/>
      <c r="AP96" s="18"/>
      <c r="AQ96" s="119">
        <f t="shared" si="36"/>
        <v>0</v>
      </c>
      <c r="AR96" s="18"/>
      <c r="AS96" s="18"/>
      <c r="AT96" s="18"/>
      <c r="AU96" s="18"/>
      <c r="AV96" s="18"/>
      <c r="AW96" s="18"/>
      <c r="AX96" s="18"/>
      <c r="AY96" s="18"/>
      <c r="AZ96" s="18"/>
      <c r="BA96" s="18"/>
      <c r="BB96" s="18"/>
      <c r="BC96" s="18"/>
      <c r="BD96" s="119">
        <f t="shared" si="37"/>
        <v>0</v>
      </c>
      <c r="BE96" s="18"/>
      <c r="BF96" s="18"/>
      <c r="BG96" s="18"/>
      <c r="BH96" s="18"/>
      <c r="BI96" s="18"/>
      <c r="BJ96" s="18"/>
      <c r="BK96" s="18"/>
      <c r="BL96" s="18"/>
      <c r="BM96" s="18"/>
      <c r="BN96" s="18"/>
      <c r="BO96" s="18"/>
      <c r="BP96" s="18"/>
      <c r="BQ96" s="119">
        <f t="shared" si="38"/>
        <v>0</v>
      </c>
    </row>
    <row r="97" spans="1:69" x14ac:dyDescent="0.3">
      <c r="A97" s="1"/>
      <c r="B97" s="14"/>
      <c r="C97" s="133"/>
      <c r="D97" s="18"/>
      <c r="E97" s="18">
        <f t="shared" si="33"/>
        <v>0</v>
      </c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99">
        <f t="shared" si="34"/>
        <v>0</v>
      </c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99">
        <f t="shared" si="35"/>
        <v>0</v>
      </c>
      <c r="AE97" s="18"/>
      <c r="AF97" s="18"/>
      <c r="AG97" s="18"/>
      <c r="AH97" s="18"/>
      <c r="AI97" s="18"/>
      <c r="AJ97" s="18"/>
      <c r="AK97" s="18"/>
      <c r="AL97" s="18"/>
      <c r="AM97" s="18"/>
      <c r="AN97" s="18"/>
      <c r="AO97" s="18"/>
      <c r="AP97" s="18"/>
      <c r="AQ97" s="119">
        <f t="shared" si="36"/>
        <v>0</v>
      </c>
      <c r="AR97" s="18"/>
      <c r="AS97" s="18"/>
      <c r="AT97" s="18"/>
      <c r="AU97" s="18"/>
      <c r="AV97" s="18"/>
      <c r="AW97" s="18"/>
      <c r="AX97" s="18"/>
      <c r="AY97" s="18"/>
      <c r="AZ97" s="18"/>
      <c r="BA97" s="18"/>
      <c r="BB97" s="18"/>
      <c r="BC97" s="18"/>
      <c r="BD97" s="119">
        <f t="shared" si="37"/>
        <v>0</v>
      </c>
      <c r="BE97" s="18"/>
      <c r="BF97" s="18"/>
      <c r="BG97" s="18"/>
      <c r="BH97" s="18"/>
      <c r="BI97" s="18"/>
      <c r="BJ97" s="18"/>
      <c r="BK97" s="18"/>
      <c r="BL97" s="18"/>
      <c r="BM97" s="18"/>
      <c r="BN97" s="18"/>
      <c r="BO97" s="18"/>
      <c r="BP97" s="18"/>
      <c r="BQ97" s="119">
        <f t="shared" si="38"/>
        <v>0</v>
      </c>
    </row>
    <row r="98" spans="1:69" x14ac:dyDescent="0.3">
      <c r="A98" s="1"/>
      <c r="B98" s="14"/>
      <c r="C98" s="133"/>
      <c r="D98" s="18"/>
      <c r="E98" s="18">
        <f t="shared" si="33"/>
        <v>0</v>
      </c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99">
        <f t="shared" si="34"/>
        <v>0</v>
      </c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99">
        <f t="shared" si="35"/>
        <v>0</v>
      </c>
      <c r="AE98" s="18"/>
      <c r="AF98" s="18"/>
      <c r="AG98" s="18"/>
      <c r="AH98" s="18"/>
      <c r="AI98" s="18"/>
      <c r="AJ98" s="18"/>
      <c r="AK98" s="18"/>
      <c r="AL98" s="18"/>
      <c r="AM98" s="18"/>
      <c r="AN98" s="18"/>
      <c r="AO98" s="18"/>
      <c r="AP98" s="18"/>
      <c r="AQ98" s="119">
        <f t="shared" si="36"/>
        <v>0</v>
      </c>
      <c r="AR98" s="18"/>
      <c r="AS98" s="18"/>
      <c r="AT98" s="18"/>
      <c r="AU98" s="18"/>
      <c r="AV98" s="18"/>
      <c r="AW98" s="18"/>
      <c r="AX98" s="18"/>
      <c r="AY98" s="18"/>
      <c r="AZ98" s="18"/>
      <c r="BA98" s="18"/>
      <c r="BB98" s="18"/>
      <c r="BC98" s="18"/>
      <c r="BD98" s="119">
        <f t="shared" si="37"/>
        <v>0</v>
      </c>
      <c r="BE98" s="18"/>
      <c r="BF98" s="18"/>
      <c r="BG98" s="18"/>
      <c r="BH98" s="18"/>
      <c r="BI98" s="18"/>
      <c r="BJ98" s="18"/>
      <c r="BK98" s="18"/>
      <c r="BL98" s="18"/>
      <c r="BM98" s="18"/>
      <c r="BN98" s="18"/>
      <c r="BO98" s="18"/>
      <c r="BP98" s="18"/>
      <c r="BQ98" s="119">
        <f t="shared" si="38"/>
        <v>0</v>
      </c>
    </row>
    <row r="99" spans="1:69" x14ac:dyDescent="0.3">
      <c r="A99" s="1"/>
      <c r="B99" s="14"/>
      <c r="C99" s="133"/>
      <c r="D99" s="18"/>
      <c r="E99" s="18">
        <f t="shared" si="33"/>
        <v>0</v>
      </c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99">
        <f t="shared" si="34"/>
        <v>0</v>
      </c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99">
        <f t="shared" si="35"/>
        <v>0</v>
      </c>
      <c r="AE99" s="18"/>
      <c r="AF99" s="18"/>
      <c r="AG99" s="18"/>
      <c r="AH99" s="18"/>
      <c r="AI99" s="18"/>
      <c r="AJ99" s="18"/>
      <c r="AK99" s="18"/>
      <c r="AL99" s="18"/>
      <c r="AM99" s="18"/>
      <c r="AN99" s="18"/>
      <c r="AO99" s="18"/>
      <c r="AP99" s="18"/>
      <c r="AQ99" s="119">
        <f t="shared" si="36"/>
        <v>0</v>
      </c>
      <c r="AR99" s="18"/>
      <c r="AS99" s="18"/>
      <c r="AT99" s="18"/>
      <c r="AU99" s="18"/>
      <c r="AV99" s="18"/>
      <c r="AW99" s="18"/>
      <c r="AX99" s="18"/>
      <c r="AY99" s="18"/>
      <c r="AZ99" s="18"/>
      <c r="BA99" s="18"/>
      <c r="BB99" s="18"/>
      <c r="BC99" s="18"/>
      <c r="BD99" s="119">
        <f t="shared" si="37"/>
        <v>0</v>
      </c>
      <c r="BE99" s="18"/>
      <c r="BF99" s="18"/>
      <c r="BG99" s="18"/>
      <c r="BH99" s="18"/>
      <c r="BI99" s="18"/>
      <c r="BJ99" s="18"/>
      <c r="BK99" s="18"/>
      <c r="BL99" s="18"/>
      <c r="BM99" s="18"/>
      <c r="BN99" s="18"/>
      <c r="BO99" s="18"/>
      <c r="BP99" s="18"/>
      <c r="BQ99" s="119">
        <f t="shared" si="38"/>
        <v>0</v>
      </c>
    </row>
    <row r="100" spans="1:69" x14ac:dyDescent="0.3">
      <c r="A100" s="1"/>
      <c r="B100" s="14"/>
      <c r="C100" s="133"/>
      <c r="D100" s="18"/>
      <c r="E100" s="18">
        <f t="shared" si="33"/>
        <v>0</v>
      </c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99">
        <f t="shared" si="34"/>
        <v>0</v>
      </c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99">
        <f t="shared" si="35"/>
        <v>0</v>
      </c>
      <c r="AE100" s="18"/>
      <c r="AF100" s="18"/>
      <c r="AG100" s="18"/>
      <c r="AH100" s="18"/>
      <c r="AI100" s="18"/>
      <c r="AJ100" s="18"/>
      <c r="AK100" s="18"/>
      <c r="AL100" s="18"/>
      <c r="AM100" s="18"/>
      <c r="AN100" s="18"/>
      <c r="AO100" s="18"/>
      <c r="AP100" s="18"/>
      <c r="AQ100" s="119">
        <f t="shared" si="36"/>
        <v>0</v>
      </c>
      <c r="AR100" s="18"/>
      <c r="AS100" s="18"/>
      <c r="AT100" s="18"/>
      <c r="AU100" s="18"/>
      <c r="AV100" s="18"/>
      <c r="AW100" s="18"/>
      <c r="AX100" s="18"/>
      <c r="AY100" s="18"/>
      <c r="AZ100" s="18"/>
      <c r="BA100" s="18"/>
      <c r="BB100" s="18"/>
      <c r="BC100" s="18"/>
      <c r="BD100" s="119">
        <f t="shared" si="37"/>
        <v>0</v>
      </c>
      <c r="BE100" s="18"/>
      <c r="BF100" s="18"/>
      <c r="BG100" s="18"/>
      <c r="BH100" s="18"/>
      <c r="BI100" s="18"/>
      <c r="BJ100" s="18"/>
      <c r="BK100" s="18"/>
      <c r="BL100" s="18"/>
      <c r="BM100" s="18"/>
      <c r="BN100" s="18"/>
      <c r="BO100" s="18"/>
      <c r="BP100" s="18"/>
      <c r="BQ100" s="119">
        <f t="shared" si="38"/>
        <v>0</v>
      </c>
    </row>
    <row r="101" spans="1:69" x14ac:dyDescent="0.3">
      <c r="A101" s="1"/>
      <c r="B101" s="14"/>
      <c r="C101" s="133"/>
      <c r="D101" s="18"/>
      <c r="E101" s="18">
        <f t="shared" si="33"/>
        <v>0</v>
      </c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99">
        <f t="shared" si="34"/>
        <v>0</v>
      </c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99">
        <f t="shared" si="35"/>
        <v>0</v>
      </c>
      <c r="AE101" s="18"/>
      <c r="AF101" s="18"/>
      <c r="AG101" s="18"/>
      <c r="AH101" s="18"/>
      <c r="AI101" s="18"/>
      <c r="AJ101" s="18"/>
      <c r="AK101" s="18"/>
      <c r="AL101" s="18"/>
      <c r="AM101" s="18"/>
      <c r="AN101" s="18"/>
      <c r="AO101" s="18"/>
      <c r="AP101" s="18"/>
      <c r="AQ101" s="119">
        <f t="shared" si="36"/>
        <v>0</v>
      </c>
      <c r="AR101" s="18"/>
      <c r="AS101" s="18"/>
      <c r="AT101" s="18"/>
      <c r="AU101" s="18"/>
      <c r="AV101" s="18"/>
      <c r="AW101" s="18"/>
      <c r="AX101" s="18"/>
      <c r="AY101" s="18"/>
      <c r="AZ101" s="18"/>
      <c r="BA101" s="18"/>
      <c r="BB101" s="18"/>
      <c r="BC101" s="18"/>
      <c r="BD101" s="119">
        <f t="shared" si="37"/>
        <v>0</v>
      </c>
      <c r="BE101" s="18"/>
      <c r="BF101" s="18"/>
      <c r="BG101" s="18"/>
      <c r="BH101" s="18"/>
      <c r="BI101" s="18"/>
      <c r="BJ101" s="18"/>
      <c r="BK101" s="18"/>
      <c r="BL101" s="18"/>
      <c r="BM101" s="18"/>
      <c r="BN101" s="18"/>
      <c r="BO101" s="18"/>
      <c r="BP101" s="18"/>
      <c r="BQ101" s="119">
        <f t="shared" si="38"/>
        <v>0</v>
      </c>
    </row>
    <row r="102" spans="1:69" x14ac:dyDescent="0.3">
      <c r="A102" s="1"/>
      <c r="B102" s="14"/>
      <c r="C102" s="133"/>
      <c r="D102" s="18"/>
      <c r="E102" s="18">
        <f t="shared" si="33"/>
        <v>0</v>
      </c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99">
        <f t="shared" si="34"/>
        <v>0</v>
      </c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99">
        <f t="shared" si="35"/>
        <v>0</v>
      </c>
      <c r="AE102" s="18"/>
      <c r="AF102" s="18"/>
      <c r="AG102" s="18"/>
      <c r="AH102" s="18"/>
      <c r="AI102" s="18"/>
      <c r="AJ102" s="18"/>
      <c r="AK102" s="18"/>
      <c r="AL102" s="18"/>
      <c r="AM102" s="18"/>
      <c r="AN102" s="18"/>
      <c r="AO102" s="18"/>
      <c r="AP102" s="18"/>
      <c r="AQ102" s="119">
        <f t="shared" si="36"/>
        <v>0</v>
      </c>
      <c r="AR102" s="18"/>
      <c r="AS102" s="18"/>
      <c r="AT102" s="18"/>
      <c r="AU102" s="18"/>
      <c r="AV102" s="18"/>
      <c r="AW102" s="18"/>
      <c r="AX102" s="18"/>
      <c r="AY102" s="18"/>
      <c r="AZ102" s="18"/>
      <c r="BA102" s="18"/>
      <c r="BB102" s="18"/>
      <c r="BC102" s="18"/>
      <c r="BD102" s="119">
        <f t="shared" si="37"/>
        <v>0</v>
      </c>
      <c r="BE102" s="18"/>
      <c r="BF102" s="18"/>
      <c r="BG102" s="18"/>
      <c r="BH102" s="18"/>
      <c r="BI102" s="18"/>
      <c r="BJ102" s="18"/>
      <c r="BK102" s="18"/>
      <c r="BL102" s="18"/>
      <c r="BM102" s="18"/>
      <c r="BN102" s="18"/>
      <c r="BO102" s="18"/>
      <c r="BP102" s="18"/>
      <c r="BQ102" s="119">
        <f t="shared" si="38"/>
        <v>0</v>
      </c>
    </row>
    <row r="103" spans="1:69" x14ac:dyDescent="0.3">
      <c r="A103" s="1"/>
      <c r="B103" s="14"/>
      <c r="C103" s="133"/>
      <c r="D103" s="18"/>
      <c r="E103" s="18">
        <f t="shared" si="33"/>
        <v>0</v>
      </c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99">
        <f t="shared" si="34"/>
        <v>0</v>
      </c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99">
        <f t="shared" si="35"/>
        <v>0</v>
      </c>
      <c r="AE103" s="18"/>
      <c r="AF103" s="18"/>
      <c r="AG103" s="18"/>
      <c r="AH103" s="18"/>
      <c r="AI103" s="18"/>
      <c r="AJ103" s="18"/>
      <c r="AK103" s="18"/>
      <c r="AL103" s="18"/>
      <c r="AM103" s="18"/>
      <c r="AN103" s="18"/>
      <c r="AO103" s="18"/>
      <c r="AP103" s="18"/>
      <c r="AQ103" s="119">
        <f t="shared" si="36"/>
        <v>0</v>
      </c>
      <c r="AR103" s="18"/>
      <c r="AS103" s="18"/>
      <c r="AT103" s="18"/>
      <c r="AU103" s="18"/>
      <c r="AV103" s="18"/>
      <c r="AW103" s="18"/>
      <c r="AX103" s="18"/>
      <c r="AY103" s="18"/>
      <c r="AZ103" s="18"/>
      <c r="BA103" s="18"/>
      <c r="BB103" s="18"/>
      <c r="BC103" s="18"/>
      <c r="BD103" s="119">
        <f t="shared" si="37"/>
        <v>0</v>
      </c>
      <c r="BE103" s="18"/>
      <c r="BF103" s="18"/>
      <c r="BG103" s="18"/>
      <c r="BH103" s="18"/>
      <c r="BI103" s="18"/>
      <c r="BJ103" s="18"/>
      <c r="BK103" s="18"/>
      <c r="BL103" s="18"/>
      <c r="BM103" s="18"/>
      <c r="BN103" s="18"/>
      <c r="BO103" s="18"/>
      <c r="BP103" s="18"/>
      <c r="BQ103" s="119">
        <f t="shared" si="38"/>
        <v>0</v>
      </c>
    </row>
    <row r="104" spans="1:69" x14ac:dyDescent="0.3">
      <c r="A104" s="1"/>
      <c r="B104" s="14"/>
      <c r="C104" s="133"/>
      <c r="D104" s="18"/>
      <c r="E104" s="18">
        <f t="shared" si="33"/>
        <v>0</v>
      </c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99">
        <f t="shared" si="34"/>
        <v>0</v>
      </c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99">
        <f t="shared" si="35"/>
        <v>0</v>
      </c>
      <c r="AE104" s="18"/>
      <c r="AF104" s="18"/>
      <c r="AG104" s="18"/>
      <c r="AH104" s="18"/>
      <c r="AI104" s="18"/>
      <c r="AJ104" s="18"/>
      <c r="AK104" s="18"/>
      <c r="AL104" s="18"/>
      <c r="AM104" s="18"/>
      <c r="AN104" s="18"/>
      <c r="AO104" s="18"/>
      <c r="AP104" s="18"/>
      <c r="AQ104" s="119">
        <f t="shared" si="36"/>
        <v>0</v>
      </c>
      <c r="AR104" s="18"/>
      <c r="AS104" s="18"/>
      <c r="AT104" s="18"/>
      <c r="AU104" s="18"/>
      <c r="AV104" s="18"/>
      <c r="AW104" s="18"/>
      <c r="AX104" s="18"/>
      <c r="AY104" s="18"/>
      <c r="AZ104" s="18"/>
      <c r="BA104" s="18"/>
      <c r="BB104" s="18"/>
      <c r="BC104" s="18"/>
      <c r="BD104" s="119">
        <f t="shared" si="37"/>
        <v>0</v>
      </c>
      <c r="BE104" s="18"/>
      <c r="BF104" s="18"/>
      <c r="BG104" s="18"/>
      <c r="BH104" s="18"/>
      <c r="BI104" s="18"/>
      <c r="BJ104" s="18"/>
      <c r="BK104" s="18"/>
      <c r="BL104" s="18"/>
      <c r="BM104" s="18"/>
      <c r="BN104" s="18"/>
      <c r="BO104" s="18"/>
      <c r="BP104" s="18"/>
      <c r="BQ104" s="119">
        <f t="shared" si="38"/>
        <v>0</v>
      </c>
    </row>
    <row r="105" spans="1:69" x14ac:dyDescent="0.3">
      <c r="A105" s="1"/>
      <c r="B105" s="14"/>
      <c r="C105" s="133"/>
      <c r="D105" s="18"/>
      <c r="E105" s="18">
        <f t="shared" si="33"/>
        <v>0</v>
      </c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99">
        <f t="shared" si="34"/>
        <v>0</v>
      </c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99">
        <f t="shared" si="35"/>
        <v>0</v>
      </c>
      <c r="AE105" s="18"/>
      <c r="AF105" s="18"/>
      <c r="AG105" s="18"/>
      <c r="AH105" s="18"/>
      <c r="AI105" s="18"/>
      <c r="AJ105" s="18"/>
      <c r="AK105" s="18"/>
      <c r="AL105" s="18"/>
      <c r="AM105" s="18"/>
      <c r="AN105" s="18"/>
      <c r="AO105" s="18"/>
      <c r="AP105" s="18"/>
      <c r="AQ105" s="119">
        <f t="shared" si="36"/>
        <v>0</v>
      </c>
      <c r="AR105" s="18"/>
      <c r="AS105" s="18"/>
      <c r="AT105" s="18"/>
      <c r="AU105" s="18"/>
      <c r="AV105" s="18"/>
      <c r="AW105" s="18"/>
      <c r="AX105" s="18"/>
      <c r="AY105" s="18"/>
      <c r="AZ105" s="18"/>
      <c r="BA105" s="18"/>
      <c r="BB105" s="18"/>
      <c r="BC105" s="18"/>
      <c r="BD105" s="119">
        <f t="shared" si="37"/>
        <v>0</v>
      </c>
      <c r="BE105" s="18"/>
      <c r="BF105" s="18"/>
      <c r="BG105" s="18"/>
      <c r="BH105" s="18"/>
      <c r="BI105" s="18"/>
      <c r="BJ105" s="18"/>
      <c r="BK105" s="18"/>
      <c r="BL105" s="18"/>
      <c r="BM105" s="18"/>
      <c r="BN105" s="18"/>
      <c r="BO105" s="18"/>
      <c r="BP105" s="18"/>
      <c r="BQ105" s="119">
        <f t="shared" si="38"/>
        <v>0</v>
      </c>
    </row>
    <row r="106" spans="1:69" x14ac:dyDescent="0.3">
      <c r="A106" s="1"/>
      <c r="B106" s="14"/>
      <c r="C106" s="133"/>
      <c r="D106" s="18"/>
      <c r="E106" s="18">
        <f t="shared" si="33"/>
        <v>0</v>
      </c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99">
        <f t="shared" si="34"/>
        <v>0</v>
      </c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99">
        <f t="shared" si="35"/>
        <v>0</v>
      </c>
      <c r="AE106" s="18"/>
      <c r="AF106" s="18"/>
      <c r="AG106" s="18"/>
      <c r="AH106" s="18"/>
      <c r="AI106" s="18"/>
      <c r="AJ106" s="18"/>
      <c r="AK106" s="18"/>
      <c r="AL106" s="18"/>
      <c r="AM106" s="18"/>
      <c r="AN106" s="18"/>
      <c r="AO106" s="18"/>
      <c r="AP106" s="18"/>
      <c r="AQ106" s="119">
        <f t="shared" si="36"/>
        <v>0</v>
      </c>
      <c r="AR106" s="18"/>
      <c r="AS106" s="18"/>
      <c r="AT106" s="18"/>
      <c r="AU106" s="18"/>
      <c r="AV106" s="18"/>
      <c r="AW106" s="18"/>
      <c r="AX106" s="18"/>
      <c r="AY106" s="18"/>
      <c r="AZ106" s="18"/>
      <c r="BA106" s="18"/>
      <c r="BB106" s="18"/>
      <c r="BC106" s="18"/>
      <c r="BD106" s="119">
        <f t="shared" si="37"/>
        <v>0</v>
      </c>
      <c r="BE106" s="18"/>
      <c r="BF106" s="18"/>
      <c r="BG106" s="18"/>
      <c r="BH106" s="18"/>
      <c r="BI106" s="18"/>
      <c r="BJ106" s="18"/>
      <c r="BK106" s="18"/>
      <c r="BL106" s="18"/>
      <c r="BM106" s="18"/>
      <c r="BN106" s="18"/>
      <c r="BO106" s="18"/>
      <c r="BP106" s="18"/>
      <c r="BQ106" s="119">
        <f t="shared" si="38"/>
        <v>0</v>
      </c>
    </row>
    <row r="107" spans="1:69" x14ac:dyDescent="0.3">
      <c r="A107" s="1"/>
      <c r="B107" s="14"/>
      <c r="C107" s="133"/>
      <c r="D107" s="18"/>
      <c r="E107" s="18">
        <f t="shared" si="33"/>
        <v>0</v>
      </c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99">
        <f t="shared" si="34"/>
        <v>0</v>
      </c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99">
        <f t="shared" si="35"/>
        <v>0</v>
      </c>
      <c r="AE107" s="18"/>
      <c r="AF107" s="18"/>
      <c r="AG107" s="18"/>
      <c r="AH107" s="18"/>
      <c r="AI107" s="18"/>
      <c r="AJ107" s="18"/>
      <c r="AK107" s="18"/>
      <c r="AL107" s="18"/>
      <c r="AM107" s="18"/>
      <c r="AN107" s="18"/>
      <c r="AO107" s="18"/>
      <c r="AP107" s="18"/>
      <c r="AQ107" s="119">
        <f t="shared" si="36"/>
        <v>0</v>
      </c>
      <c r="AR107" s="18"/>
      <c r="AS107" s="18"/>
      <c r="AT107" s="18"/>
      <c r="AU107" s="18"/>
      <c r="AV107" s="18"/>
      <c r="AW107" s="18"/>
      <c r="AX107" s="18"/>
      <c r="AY107" s="18"/>
      <c r="AZ107" s="18"/>
      <c r="BA107" s="18"/>
      <c r="BB107" s="18"/>
      <c r="BC107" s="18"/>
      <c r="BD107" s="119">
        <f t="shared" si="37"/>
        <v>0</v>
      </c>
      <c r="BE107" s="18"/>
      <c r="BF107" s="18"/>
      <c r="BG107" s="18"/>
      <c r="BH107" s="18"/>
      <c r="BI107" s="18"/>
      <c r="BJ107" s="18"/>
      <c r="BK107" s="18"/>
      <c r="BL107" s="18"/>
      <c r="BM107" s="18"/>
      <c r="BN107" s="18"/>
      <c r="BO107" s="18"/>
      <c r="BP107" s="18"/>
      <c r="BQ107" s="119">
        <f t="shared" si="38"/>
        <v>0</v>
      </c>
    </row>
    <row r="108" spans="1:69" x14ac:dyDescent="0.3">
      <c r="A108" s="1"/>
      <c r="B108" s="14"/>
      <c r="C108" s="133"/>
      <c r="D108" s="18"/>
      <c r="E108" s="18">
        <f t="shared" si="33"/>
        <v>0</v>
      </c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99">
        <f t="shared" si="34"/>
        <v>0</v>
      </c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99">
        <f t="shared" si="35"/>
        <v>0</v>
      </c>
      <c r="AE108" s="18"/>
      <c r="AF108" s="18"/>
      <c r="AG108" s="18"/>
      <c r="AH108" s="18"/>
      <c r="AI108" s="18"/>
      <c r="AJ108" s="18"/>
      <c r="AK108" s="18"/>
      <c r="AL108" s="18"/>
      <c r="AM108" s="18"/>
      <c r="AN108" s="18"/>
      <c r="AO108" s="18"/>
      <c r="AP108" s="18"/>
      <c r="AQ108" s="119">
        <f t="shared" si="36"/>
        <v>0</v>
      </c>
      <c r="AR108" s="18"/>
      <c r="AS108" s="18"/>
      <c r="AT108" s="18"/>
      <c r="AU108" s="18"/>
      <c r="AV108" s="18"/>
      <c r="AW108" s="18"/>
      <c r="AX108" s="18"/>
      <c r="AY108" s="18"/>
      <c r="AZ108" s="18"/>
      <c r="BA108" s="18"/>
      <c r="BB108" s="18"/>
      <c r="BC108" s="18"/>
      <c r="BD108" s="119">
        <f t="shared" si="37"/>
        <v>0</v>
      </c>
      <c r="BE108" s="18"/>
      <c r="BF108" s="18"/>
      <c r="BG108" s="18"/>
      <c r="BH108" s="18"/>
      <c r="BI108" s="18"/>
      <c r="BJ108" s="18"/>
      <c r="BK108" s="18"/>
      <c r="BL108" s="18"/>
      <c r="BM108" s="18"/>
      <c r="BN108" s="18"/>
      <c r="BO108" s="18"/>
      <c r="BP108" s="18"/>
      <c r="BQ108" s="119">
        <f t="shared" si="38"/>
        <v>0</v>
      </c>
    </row>
    <row r="109" spans="1:69" x14ac:dyDescent="0.3">
      <c r="A109" s="1"/>
      <c r="B109" s="14"/>
      <c r="C109" s="133"/>
      <c r="D109" s="18"/>
      <c r="E109" s="18">
        <f t="shared" si="33"/>
        <v>0</v>
      </c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99">
        <f t="shared" si="34"/>
        <v>0</v>
      </c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99">
        <f t="shared" si="35"/>
        <v>0</v>
      </c>
      <c r="AE109" s="18"/>
      <c r="AF109" s="18"/>
      <c r="AG109" s="18"/>
      <c r="AH109" s="18"/>
      <c r="AI109" s="18"/>
      <c r="AJ109" s="18"/>
      <c r="AK109" s="18"/>
      <c r="AL109" s="18"/>
      <c r="AM109" s="18"/>
      <c r="AN109" s="18"/>
      <c r="AO109" s="18"/>
      <c r="AP109" s="18"/>
      <c r="AQ109" s="119">
        <f t="shared" si="36"/>
        <v>0</v>
      </c>
      <c r="AR109" s="18"/>
      <c r="AS109" s="18"/>
      <c r="AT109" s="18"/>
      <c r="AU109" s="18"/>
      <c r="AV109" s="18"/>
      <c r="AW109" s="18"/>
      <c r="AX109" s="18"/>
      <c r="AY109" s="18"/>
      <c r="AZ109" s="18"/>
      <c r="BA109" s="18"/>
      <c r="BB109" s="18"/>
      <c r="BC109" s="18"/>
      <c r="BD109" s="119">
        <f t="shared" si="37"/>
        <v>0</v>
      </c>
      <c r="BE109" s="18"/>
      <c r="BF109" s="18"/>
      <c r="BG109" s="18"/>
      <c r="BH109" s="18"/>
      <c r="BI109" s="18"/>
      <c r="BJ109" s="18"/>
      <c r="BK109" s="18"/>
      <c r="BL109" s="18"/>
      <c r="BM109" s="18"/>
      <c r="BN109" s="18"/>
      <c r="BO109" s="18"/>
      <c r="BP109" s="18"/>
      <c r="BQ109" s="119">
        <f t="shared" si="38"/>
        <v>0</v>
      </c>
    </row>
    <row r="110" spans="1:69" x14ac:dyDescent="0.3">
      <c r="A110" s="1"/>
      <c r="B110" s="14"/>
      <c r="C110" s="133"/>
      <c r="D110" s="18"/>
      <c r="E110" s="18">
        <f t="shared" si="33"/>
        <v>0</v>
      </c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99">
        <f t="shared" si="34"/>
        <v>0</v>
      </c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99">
        <f t="shared" si="35"/>
        <v>0</v>
      </c>
      <c r="AE110" s="18"/>
      <c r="AF110" s="18"/>
      <c r="AG110" s="18"/>
      <c r="AH110" s="18"/>
      <c r="AI110" s="18"/>
      <c r="AJ110" s="18"/>
      <c r="AK110" s="18"/>
      <c r="AL110" s="18"/>
      <c r="AM110" s="18"/>
      <c r="AN110" s="18"/>
      <c r="AO110" s="18"/>
      <c r="AP110" s="18"/>
      <c r="AQ110" s="119">
        <f t="shared" si="36"/>
        <v>0</v>
      </c>
      <c r="AR110" s="18"/>
      <c r="AS110" s="18"/>
      <c r="AT110" s="18"/>
      <c r="AU110" s="18"/>
      <c r="AV110" s="18"/>
      <c r="AW110" s="18"/>
      <c r="AX110" s="18"/>
      <c r="AY110" s="18"/>
      <c r="AZ110" s="18"/>
      <c r="BA110" s="18"/>
      <c r="BB110" s="18"/>
      <c r="BC110" s="18"/>
      <c r="BD110" s="119">
        <f t="shared" si="37"/>
        <v>0</v>
      </c>
      <c r="BE110" s="18"/>
      <c r="BF110" s="18"/>
      <c r="BG110" s="18"/>
      <c r="BH110" s="18"/>
      <c r="BI110" s="18"/>
      <c r="BJ110" s="18"/>
      <c r="BK110" s="18"/>
      <c r="BL110" s="18"/>
      <c r="BM110" s="18"/>
      <c r="BN110" s="18"/>
      <c r="BO110" s="18"/>
      <c r="BP110" s="18"/>
      <c r="BQ110" s="119">
        <f t="shared" si="38"/>
        <v>0</v>
      </c>
    </row>
    <row r="111" spans="1:69" x14ac:dyDescent="0.3">
      <c r="A111" s="1"/>
      <c r="B111" s="14"/>
      <c r="C111" s="133"/>
      <c r="D111" s="18"/>
      <c r="E111" s="18">
        <f t="shared" si="33"/>
        <v>0</v>
      </c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99">
        <f t="shared" si="34"/>
        <v>0</v>
      </c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99">
        <f t="shared" si="35"/>
        <v>0</v>
      </c>
      <c r="AE111" s="18"/>
      <c r="AF111" s="18"/>
      <c r="AG111" s="18"/>
      <c r="AH111" s="18"/>
      <c r="AI111" s="18"/>
      <c r="AJ111" s="18"/>
      <c r="AK111" s="18"/>
      <c r="AL111" s="18"/>
      <c r="AM111" s="18"/>
      <c r="AN111" s="18"/>
      <c r="AO111" s="18"/>
      <c r="AP111" s="18"/>
      <c r="AQ111" s="119">
        <f t="shared" si="36"/>
        <v>0</v>
      </c>
      <c r="AR111" s="18"/>
      <c r="AS111" s="18"/>
      <c r="AT111" s="18"/>
      <c r="AU111" s="18"/>
      <c r="AV111" s="18"/>
      <c r="AW111" s="18"/>
      <c r="AX111" s="18"/>
      <c r="AY111" s="18"/>
      <c r="AZ111" s="18"/>
      <c r="BA111" s="18"/>
      <c r="BB111" s="18"/>
      <c r="BC111" s="18"/>
      <c r="BD111" s="119">
        <f t="shared" si="37"/>
        <v>0</v>
      </c>
      <c r="BE111" s="18"/>
      <c r="BF111" s="18"/>
      <c r="BG111" s="18"/>
      <c r="BH111" s="18"/>
      <c r="BI111" s="18"/>
      <c r="BJ111" s="18"/>
      <c r="BK111" s="18"/>
      <c r="BL111" s="18"/>
      <c r="BM111" s="18"/>
      <c r="BN111" s="18"/>
      <c r="BO111" s="18"/>
      <c r="BP111" s="18"/>
      <c r="BQ111" s="119">
        <f t="shared" si="38"/>
        <v>0</v>
      </c>
    </row>
    <row r="112" spans="1:69" x14ac:dyDescent="0.3">
      <c r="A112" s="1"/>
      <c r="B112" s="14"/>
      <c r="C112" s="133"/>
      <c r="D112" s="18"/>
      <c r="E112" s="18">
        <f t="shared" si="33"/>
        <v>0</v>
      </c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99">
        <f t="shared" si="34"/>
        <v>0</v>
      </c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99">
        <f t="shared" si="35"/>
        <v>0</v>
      </c>
      <c r="AE112" s="18"/>
      <c r="AF112" s="18"/>
      <c r="AG112" s="18"/>
      <c r="AH112" s="18"/>
      <c r="AI112" s="18"/>
      <c r="AJ112" s="18"/>
      <c r="AK112" s="18"/>
      <c r="AL112" s="18"/>
      <c r="AM112" s="18"/>
      <c r="AN112" s="18"/>
      <c r="AO112" s="18"/>
      <c r="AP112" s="18"/>
      <c r="AQ112" s="119">
        <f t="shared" si="36"/>
        <v>0</v>
      </c>
      <c r="AR112" s="18"/>
      <c r="AS112" s="18"/>
      <c r="AT112" s="18"/>
      <c r="AU112" s="18"/>
      <c r="AV112" s="18"/>
      <c r="AW112" s="18"/>
      <c r="AX112" s="18"/>
      <c r="AY112" s="18"/>
      <c r="AZ112" s="18"/>
      <c r="BA112" s="18"/>
      <c r="BB112" s="18"/>
      <c r="BC112" s="18"/>
      <c r="BD112" s="119">
        <f t="shared" si="37"/>
        <v>0</v>
      </c>
      <c r="BE112" s="18"/>
      <c r="BF112" s="18"/>
      <c r="BG112" s="18"/>
      <c r="BH112" s="18"/>
      <c r="BI112" s="18"/>
      <c r="BJ112" s="18"/>
      <c r="BK112" s="18"/>
      <c r="BL112" s="18"/>
      <c r="BM112" s="18"/>
      <c r="BN112" s="18"/>
      <c r="BO112" s="18"/>
      <c r="BP112" s="18"/>
      <c r="BQ112" s="119">
        <f t="shared" si="38"/>
        <v>0</v>
      </c>
    </row>
    <row r="113" spans="1:69" x14ac:dyDescent="0.3">
      <c r="A113" s="1"/>
      <c r="B113" s="14"/>
      <c r="C113" s="133"/>
      <c r="D113" s="18"/>
      <c r="E113" s="18">
        <f t="shared" si="33"/>
        <v>0</v>
      </c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99">
        <f t="shared" si="34"/>
        <v>0</v>
      </c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99">
        <f t="shared" si="35"/>
        <v>0</v>
      </c>
      <c r="AE113" s="18"/>
      <c r="AF113" s="18"/>
      <c r="AG113" s="18"/>
      <c r="AH113" s="18"/>
      <c r="AI113" s="18"/>
      <c r="AJ113" s="18"/>
      <c r="AK113" s="18"/>
      <c r="AL113" s="18"/>
      <c r="AM113" s="18"/>
      <c r="AN113" s="18"/>
      <c r="AO113" s="18"/>
      <c r="AP113" s="18"/>
      <c r="AQ113" s="119">
        <f t="shared" si="36"/>
        <v>0</v>
      </c>
      <c r="AR113" s="18"/>
      <c r="AS113" s="18"/>
      <c r="AT113" s="18"/>
      <c r="AU113" s="18"/>
      <c r="AV113" s="18"/>
      <c r="AW113" s="18"/>
      <c r="AX113" s="18"/>
      <c r="AY113" s="18"/>
      <c r="AZ113" s="18"/>
      <c r="BA113" s="18"/>
      <c r="BB113" s="18"/>
      <c r="BC113" s="18"/>
      <c r="BD113" s="119">
        <f t="shared" si="37"/>
        <v>0</v>
      </c>
      <c r="BE113" s="18"/>
      <c r="BF113" s="18"/>
      <c r="BG113" s="18"/>
      <c r="BH113" s="18"/>
      <c r="BI113" s="18"/>
      <c r="BJ113" s="18"/>
      <c r="BK113" s="18"/>
      <c r="BL113" s="18"/>
      <c r="BM113" s="18"/>
      <c r="BN113" s="18"/>
      <c r="BO113" s="18"/>
      <c r="BP113" s="18"/>
      <c r="BQ113" s="119">
        <f t="shared" si="38"/>
        <v>0</v>
      </c>
    </row>
    <row r="114" spans="1:69" x14ac:dyDescent="0.3">
      <c r="A114" s="1"/>
      <c r="B114" s="14"/>
      <c r="C114" s="133"/>
      <c r="D114" s="18"/>
      <c r="E114" s="18">
        <f t="shared" si="33"/>
        <v>0</v>
      </c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99">
        <f t="shared" si="34"/>
        <v>0</v>
      </c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99">
        <f t="shared" si="35"/>
        <v>0</v>
      </c>
      <c r="AE114" s="18"/>
      <c r="AF114" s="18"/>
      <c r="AG114" s="18"/>
      <c r="AH114" s="18"/>
      <c r="AI114" s="18"/>
      <c r="AJ114" s="18"/>
      <c r="AK114" s="18"/>
      <c r="AL114" s="18"/>
      <c r="AM114" s="18"/>
      <c r="AN114" s="18"/>
      <c r="AO114" s="18"/>
      <c r="AP114" s="18"/>
      <c r="AQ114" s="119">
        <f t="shared" si="36"/>
        <v>0</v>
      </c>
      <c r="AR114" s="18"/>
      <c r="AS114" s="18"/>
      <c r="AT114" s="18"/>
      <c r="AU114" s="18"/>
      <c r="AV114" s="18"/>
      <c r="AW114" s="18"/>
      <c r="AX114" s="18"/>
      <c r="AY114" s="18"/>
      <c r="AZ114" s="18"/>
      <c r="BA114" s="18"/>
      <c r="BB114" s="18"/>
      <c r="BC114" s="18"/>
      <c r="BD114" s="119">
        <f t="shared" si="37"/>
        <v>0</v>
      </c>
      <c r="BE114" s="18"/>
      <c r="BF114" s="18"/>
      <c r="BG114" s="18"/>
      <c r="BH114" s="18"/>
      <c r="BI114" s="18"/>
      <c r="BJ114" s="18"/>
      <c r="BK114" s="18"/>
      <c r="BL114" s="18"/>
      <c r="BM114" s="18"/>
      <c r="BN114" s="18"/>
      <c r="BO114" s="18"/>
      <c r="BP114" s="18"/>
      <c r="BQ114" s="119">
        <f t="shared" si="38"/>
        <v>0</v>
      </c>
    </row>
    <row r="115" spans="1:69" x14ac:dyDescent="0.3">
      <c r="A115" s="1"/>
      <c r="B115" s="14"/>
      <c r="C115" s="133"/>
      <c r="D115" s="18"/>
      <c r="E115" s="18">
        <f t="shared" si="33"/>
        <v>0</v>
      </c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99">
        <f t="shared" si="34"/>
        <v>0</v>
      </c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99">
        <f t="shared" si="35"/>
        <v>0</v>
      </c>
      <c r="AE115" s="18"/>
      <c r="AF115" s="18"/>
      <c r="AG115" s="18"/>
      <c r="AH115" s="18"/>
      <c r="AI115" s="18"/>
      <c r="AJ115" s="18"/>
      <c r="AK115" s="18"/>
      <c r="AL115" s="18"/>
      <c r="AM115" s="18"/>
      <c r="AN115" s="18"/>
      <c r="AO115" s="18"/>
      <c r="AP115" s="18"/>
      <c r="AQ115" s="119">
        <f t="shared" si="36"/>
        <v>0</v>
      </c>
      <c r="AR115" s="18"/>
      <c r="AS115" s="18"/>
      <c r="AT115" s="18"/>
      <c r="AU115" s="18"/>
      <c r="AV115" s="18"/>
      <c r="AW115" s="18"/>
      <c r="AX115" s="18"/>
      <c r="AY115" s="18"/>
      <c r="AZ115" s="18"/>
      <c r="BA115" s="18"/>
      <c r="BB115" s="18"/>
      <c r="BC115" s="18"/>
      <c r="BD115" s="119">
        <f t="shared" si="37"/>
        <v>0</v>
      </c>
      <c r="BE115" s="18"/>
      <c r="BF115" s="18"/>
      <c r="BG115" s="18"/>
      <c r="BH115" s="18"/>
      <c r="BI115" s="18"/>
      <c r="BJ115" s="18"/>
      <c r="BK115" s="18"/>
      <c r="BL115" s="18"/>
      <c r="BM115" s="18"/>
      <c r="BN115" s="18"/>
      <c r="BO115" s="18"/>
      <c r="BP115" s="18"/>
      <c r="BQ115" s="119">
        <f t="shared" si="38"/>
        <v>0</v>
      </c>
    </row>
    <row r="116" spans="1:69" x14ac:dyDescent="0.3">
      <c r="A116" s="1"/>
      <c r="B116" s="14"/>
      <c r="C116" s="133"/>
      <c r="D116" s="18"/>
      <c r="E116" s="18">
        <f t="shared" si="33"/>
        <v>0</v>
      </c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99">
        <f t="shared" si="34"/>
        <v>0</v>
      </c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99">
        <f t="shared" si="35"/>
        <v>0</v>
      </c>
      <c r="AE116" s="18"/>
      <c r="AF116" s="18"/>
      <c r="AG116" s="18"/>
      <c r="AH116" s="18"/>
      <c r="AI116" s="18"/>
      <c r="AJ116" s="18"/>
      <c r="AK116" s="18"/>
      <c r="AL116" s="18"/>
      <c r="AM116" s="18"/>
      <c r="AN116" s="18"/>
      <c r="AO116" s="18"/>
      <c r="AP116" s="18"/>
      <c r="AQ116" s="119">
        <f t="shared" si="36"/>
        <v>0</v>
      </c>
      <c r="AR116" s="18"/>
      <c r="AS116" s="18"/>
      <c r="AT116" s="18"/>
      <c r="AU116" s="18"/>
      <c r="AV116" s="18"/>
      <c r="AW116" s="18"/>
      <c r="AX116" s="18"/>
      <c r="AY116" s="18"/>
      <c r="AZ116" s="18"/>
      <c r="BA116" s="18"/>
      <c r="BB116" s="18"/>
      <c r="BC116" s="18"/>
      <c r="BD116" s="119">
        <f t="shared" si="37"/>
        <v>0</v>
      </c>
      <c r="BE116" s="18"/>
      <c r="BF116" s="18"/>
      <c r="BG116" s="18"/>
      <c r="BH116" s="18"/>
      <c r="BI116" s="18"/>
      <c r="BJ116" s="18"/>
      <c r="BK116" s="18"/>
      <c r="BL116" s="18"/>
      <c r="BM116" s="18"/>
      <c r="BN116" s="18"/>
      <c r="BO116" s="18"/>
      <c r="BP116" s="18"/>
      <c r="BQ116" s="119">
        <f t="shared" si="38"/>
        <v>0</v>
      </c>
    </row>
    <row r="117" spans="1:69" x14ac:dyDescent="0.3">
      <c r="A117" s="1"/>
      <c r="B117" s="14"/>
      <c r="C117" s="133"/>
      <c r="D117" s="18"/>
      <c r="E117" s="18">
        <f t="shared" si="33"/>
        <v>0</v>
      </c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99">
        <f t="shared" si="34"/>
        <v>0</v>
      </c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99">
        <f t="shared" si="35"/>
        <v>0</v>
      </c>
      <c r="AE117" s="18"/>
      <c r="AF117" s="18"/>
      <c r="AG117" s="18"/>
      <c r="AH117" s="18"/>
      <c r="AI117" s="18"/>
      <c r="AJ117" s="18"/>
      <c r="AK117" s="18"/>
      <c r="AL117" s="18"/>
      <c r="AM117" s="18"/>
      <c r="AN117" s="18"/>
      <c r="AO117" s="18"/>
      <c r="AP117" s="18"/>
      <c r="AQ117" s="119">
        <f t="shared" si="36"/>
        <v>0</v>
      </c>
      <c r="AR117" s="18"/>
      <c r="AS117" s="18"/>
      <c r="AT117" s="18"/>
      <c r="AU117" s="18"/>
      <c r="AV117" s="18"/>
      <c r="AW117" s="18"/>
      <c r="AX117" s="18"/>
      <c r="AY117" s="18"/>
      <c r="AZ117" s="18"/>
      <c r="BA117" s="18"/>
      <c r="BB117" s="18"/>
      <c r="BC117" s="18"/>
      <c r="BD117" s="119">
        <f t="shared" si="37"/>
        <v>0</v>
      </c>
      <c r="BE117" s="18"/>
      <c r="BF117" s="18"/>
      <c r="BG117" s="18"/>
      <c r="BH117" s="18"/>
      <c r="BI117" s="18"/>
      <c r="BJ117" s="18"/>
      <c r="BK117" s="18"/>
      <c r="BL117" s="18"/>
      <c r="BM117" s="18"/>
      <c r="BN117" s="18"/>
      <c r="BO117" s="18"/>
      <c r="BP117" s="18"/>
      <c r="BQ117" s="119">
        <f t="shared" si="38"/>
        <v>0</v>
      </c>
    </row>
    <row r="118" spans="1:69" x14ac:dyDescent="0.3">
      <c r="A118" s="1"/>
      <c r="B118" s="14"/>
      <c r="C118" s="133"/>
      <c r="D118" s="18"/>
      <c r="E118" s="18">
        <f t="shared" si="33"/>
        <v>0</v>
      </c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99">
        <f t="shared" si="34"/>
        <v>0</v>
      </c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99">
        <f t="shared" si="35"/>
        <v>0</v>
      </c>
      <c r="AE118" s="18"/>
      <c r="AF118" s="18"/>
      <c r="AG118" s="18"/>
      <c r="AH118" s="18"/>
      <c r="AI118" s="18"/>
      <c r="AJ118" s="18"/>
      <c r="AK118" s="18"/>
      <c r="AL118" s="18"/>
      <c r="AM118" s="18"/>
      <c r="AN118" s="18"/>
      <c r="AO118" s="18"/>
      <c r="AP118" s="18"/>
      <c r="AQ118" s="119">
        <f t="shared" si="36"/>
        <v>0</v>
      </c>
      <c r="AR118" s="18"/>
      <c r="AS118" s="18"/>
      <c r="AT118" s="18"/>
      <c r="AU118" s="18"/>
      <c r="AV118" s="18"/>
      <c r="AW118" s="18"/>
      <c r="AX118" s="18"/>
      <c r="AY118" s="18"/>
      <c r="AZ118" s="18"/>
      <c r="BA118" s="18"/>
      <c r="BB118" s="18"/>
      <c r="BC118" s="18"/>
      <c r="BD118" s="119">
        <f t="shared" si="37"/>
        <v>0</v>
      </c>
      <c r="BE118" s="18"/>
      <c r="BF118" s="18"/>
      <c r="BG118" s="18"/>
      <c r="BH118" s="18"/>
      <c r="BI118" s="18"/>
      <c r="BJ118" s="18"/>
      <c r="BK118" s="18"/>
      <c r="BL118" s="18"/>
      <c r="BM118" s="18"/>
      <c r="BN118" s="18"/>
      <c r="BO118" s="18"/>
      <c r="BP118" s="18"/>
      <c r="BQ118" s="119">
        <f t="shared" si="38"/>
        <v>0</v>
      </c>
    </row>
    <row r="119" spans="1:69" x14ac:dyDescent="0.3">
      <c r="A119" s="1"/>
      <c r="B119" s="14"/>
      <c r="C119" s="133"/>
      <c r="D119" s="18"/>
      <c r="E119" s="18">
        <f t="shared" si="33"/>
        <v>0</v>
      </c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99">
        <f t="shared" si="34"/>
        <v>0</v>
      </c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99">
        <f t="shared" si="35"/>
        <v>0</v>
      </c>
      <c r="AE119" s="18"/>
      <c r="AF119" s="18"/>
      <c r="AG119" s="18"/>
      <c r="AH119" s="18"/>
      <c r="AI119" s="18"/>
      <c r="AJ119" s="18"/>
      <c r="AK119" s="18"/>
      <c r="AL119" s="18"/>
      <c r="AM119" s="18"/>
      <c r="AN119" s="18"/>
      <c r="AO119" s="18"/>
      <c r="AP119" s="18"/>
      <c r="AQ119" s="119">
        <f t="shared" si="36"/>
        <v>0</v>
      </c>
      <c r="AR119" s="18"/>
      <c r="AS119" s="18"/>
      <c r="AT119" s="18"/>
      <c r="AU119" s="18"/>
      <c r="AV119" s="18"/>
      <c r="AW119" s="18"/>
      <c r="AX119" s="18"/>
      <c r="AY119" s="18"/>
      <c r="AZ119" s="18"/>
      <c r="BA119" s="18"/>
      <c r="BB119" s="18"/>
      <c r="BC119" s="18"/>
      <c r="BD119" s="119">
        <f t="shared" si="37"/>
        <v>0</v>
      </c>
      <c r="BE119" s="18"/>
      <c r="BF119" s="18"/>
      <c r="BG119" s="18"/>
      <c r="BH119" s="18"/>
      <c r="BI119" s="18"/>
      <c r="BJ119" s="18"/>
      <c r="BK119" s="18"/>
      <c r="BL119" s="18"/>
      <c r="BM119" s="18"/>
      <c r="BN119" s="18"/>
      <c r="BO119" s="18"/>
      <c r="BP119" s="18"/>
      <c r="BQ119" s="119">
        <f t="shared" si="38"/>
        <v>0</v>
      </c>
    </row>
    <row r="120" spans="1:69" x14ac:dyDescent="0.3">
      <c r="A120" s="1"/>
      <c r="B120" s="14"/>
      <c r="C120" s="133"/>
      <c r="D120" s="18"/>
      <c r="E120" s="18">
        <f t="shared" si="33"/>
        <v>0</v>
      </c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99">
        <f t="shared" si="34"/>
        <v>0</v>
      </c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99">
        <f t="shared" si="35"/>
        <v>0</v>
      </c>
      <c r="AE120" s="18"/>
      <c r="AF120" s="18"/>
      <c r="AG120" s="18"/>
      <c r="AH120" s="18"/>
      <c r="AI120" s="18"/>
      <c r="AJ120" s="18"/>
      <c r="AK120" s="18"/>
      <c r="AL120" s="18"/>
      <c r="AM120" s="18"/>
      <c r="AN120" s="18"/>
      <c r="AO120" s="18"/>
      <c r="AP120" s="18"/>
      <c r="AQ120" s="119">
        <f t="shared" si="36"/>
        <v>0</v>
      </c>
      <c r="AR120" s="18"/>
      <c r="AS120" s="18"/>
      <c r="AT120" s="18"/>
      <c r="AU120" s="18"/>
      <c r="AV120" s="18"/>
      <c r="AW120" s="18"/>
      <c r="AX120" s="18"/>
      <c r="AY120" s="18"/>
      <c r="AZ120" s="18"/>
      <c r="BA120" s="18"/>
      <c r="BB120" s="18"/>
      <c r="BC120" s="18"/>
      <c r="BD120" s="119">
        <f t="shared" si="37"/>
        <v>0</v>
      </c>
      <c r="BE120" s="18"/>
      <c r="BF120" s="18"/>
      <c r="BG120" s="18"/>
      <c r="BH120" s="18"/>
      <c r="BI120" s="18"/>
      <c r="BJ120" s="18"/>
      <c r="BK120" s="18"/>
      <c r="BL120" s="18"/>
      <c r="BM120" s="18"/>
      <c r="BN120" s="18"/>
      <c r="BO120" s="18"/>
      <c r="BP120" s="18"/>
      <c r="BQ120" s="119">
        <f t="shared" si="38"/>
        <v>0</v>
      </c>
    </row>
    <row r="121" spans="1:69" x14ac:dyDescent="0.3">
      <c r="A121" s="1"/>
      <c r="B121" s="14"/>
      <c r="C121" s="133"/>
      <c r="D121" s="18"/>
      <c r="E121" s="18">
        <f t="shared" si="33"/>
        <v>0</v>
      </c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99">
        <f t="shared" si="34"/>
        <v>0</v>
      </c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99">
        <f t="shared" si="35"/>
        <v>0</v>
      </c>
      <c r="AE121" s="18"/>
      <c r="AF121" s="18"/>
      <c r="AG121" s="18"/>
      <c r="AH121" s="18"/>
      <c r="AI121" s="18"/>
      <c r="AJ121" s="18"/>
      <c r="AK121" s="18"/>
      <c r="AL121" s="18"/>
      <c r="AM121" s="18"/>
      <c r="AN121" s="18"/>
      <c r="AO121" s="18"/>
      <c r="AP121" s="18"/>
      <c r="AQ121" s="119">
        <f t="shared" si="36"/>
        <v>0</v>
      </c>
      <c r="AR121" s="18"/>
      <c r="AS121" s="18"/>
      <c r="AT121" s="18"/>
      <c r="AU121" s="18"/>
      <c r="AV121" s="18"/>
      <c r="AW121" s="18"/>
      <c r="AX121" s="18"/>
      <c r="AY121" s="18"/>
      <c r="AZ121" s="18"/>
      <c r="BA121" s="18"/>
      <c r="BB121" s="18"/>
      <c r="BC121" s="18"/>
      <c r="BD121" s="119">
        <f t="shared" si="37"/>
        <v>0</v>
      </c>
      <c r="BE121" s="18"/>
      <c r="BF121" s="18"/>
      <c r="BG121" s="18"/>
      <c r="BH121" s="18"/>
      <c r="BI121" s="18"/>
      <c r="BJ121" s="18"/>
      <c r="BK121" s="18"/>
      <c r="BL121" s="18"/>
      <c r="BM121" s="18"/>
      <c r="BN121" s="18"/>
      <c r="BO121" s="18"/>
      <c r="BP121" s="18"/>
      <c r="BQ121" s="119">
        <f t="shared" si="38"/>
        <v>0</v>
      </c>
    </row>
    <row r="122" spans="1:69" x14ac:dyDescent="0.3">
      <c r="A122" s="1"/>
      <c r="B122" s="14"/>
      <c r="C122" s="133"/>
      <c r="D122" s="18"/>
      <c r="E122" s="18">
        <f t="shared" si="33"/>
        <v>0</v>
      </c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99">
        <f t="shared" si="34"/>
        <v>0</v>
      </c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99">
        <f t="shared" si="35"/>
        <v>0</v>
      </c>
      <c r="AE122" s="18"/>
      <c r="AF122" s="18"/>
      <c r="AG122" s="18"/>
      <c r="AH122" s="18"/>
      <c r="AI122" s="18"/>
      <c r="AJ122" s="18"/>
      <c r="AK122" s="18"/>
      <c r="AL122" s="18"/>
      <c r="AM122" s="18"/>
      <c r="AN122" s="18"/>
      <c r="AO122" s="18"/>
      <c r="AP122" s="18"/>
      <c r="AQ122" s="119">
        <f t="shared" si="36"/>
        <v>0</v>
      </c>
      <c r="AR122" s="18"/>
      <c r="AS122" s="18"/>
      <c r="AT122" s="18"/>
      <c r="AU122" s="18"/>
      <c r="AV122" s="18"/>
      <c r="AW122" s="18"/>
      <c r="AX122" s="18"/>
      <c r="AY122" s="18"/>
      <c r="AZ122" s="18"/>
      <c r="BA122" s="18"/>
      <c r="BB122" s="18"/>
      <c r="BC122" s="18"/>
      <c r="BD122" s="119">
        <f t="shared" si="37"/>
        <v>0</v>
      </c>
      <c r="BE122" s="18"/>
      <c r="BF122" s="18"/>
      <c r="BG122" s="18"/>
      <c r="BH122" s="18"/>
      <c r="BI122" s="18"/>
      <c r="BJ122" s="18"/>
      <c r="BK122" s="18"/>
      <c r="BL122" s="18"/>
      <c r="BM122" s="18"/>
      <c r="BN122" s="18"/>
      <c r="BO122" s="18"/>
      <c r="BP122" s="18"/>
      <c r="BQ122" s="119">
        <f t="shared" si="38"/>
        <v>0</v>
      </c>
    </row>
    <row r="123" spans="1:69" x14ac:dyDescent="0.3">
      <c r="A123" s="1"/>
      <c r="B123" s="14"/>
      <c r="C123" s="133"/>
      <c r="D123" s="18"/>
      <c r="E123" s="18">
        <f t="shared" si="33"/>
        <v>0</v>
      </c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99">
        <f t="shared" si="34"/>
        <v>0</v>
      </c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99">
        <f t="shared" si="35"/>
        <v>0</v>
      </c>
      <c r="AE123" s="18"/>
      <c r="AF123" s="18"/>
      <c r="AG123" s="18"/>
      <c r="AH123" s="18"/>
      <c r="AI123" s="18"/>
      <c r="AJ123" s="18"/>
      <c r="AK123" s="18"/>
      <c r="AL123" s="18"/>
      <c r="AM123" s="18"/>
      <c r="AN123" s="18"/>
      <c r="AO123" s="18"/>
      <c r="AP123" s="18"/>
      <c r="AQ123" s="119">
        <f t="shared" si="36"/>
        <v>0</v>
      </c>
      <c r="AR123" s="18"/>
      <c r="AS123" s="18"/>
      <c r="AT123" s="18"/>
      <c r="AU123" s="18"/>
      <c r="AV123" s="18"/>
      <c r="AW123" s="18"/>
      <c r="AX123" s="18"/>
      <c r="AY123" s="18"/>
      <c r="AZ123" s="18"/>
      <c r="BA123" s="18"/>
      <c r="BB123" s="18"/>
      <c r="BC123" s="18"/>
      <c r="BD123" s="119">
        <f t="shared" si="37"/>
        <v>0</v>
      </c>
      <c r="BE123" s="18"/>
      <c r="BF123" s="18"/>
      <c r="BG123" s="18"/>
      <c r="BH123" s="18"/>
      <c r="BI123" s="18"/>
      <c r="BJ123" s="18"/>
      <c r="BK123" s="18"/>
      <c r="BL123" s="18"/>
      <c r="BM123" s="18"/>
      <c r="BN123" s="18"/>
      <c r="BO123" s="18"/>
      <c r="BP123" s="18"/>
      <c r="BQ123" s="119">
        <f t="shared" si="38"/>
        <v>0</v>
      </c>
    </row>
    <row r="124" spans="1:69" x14ac:dyDescent="0.3">
      <c r="A124" s="1"/>
      <c r="B124" s="14"/>
      <c r="C124" s="133"/>
      <c r="D124" s="18"/>
      <c r="E124" s="18">
        <f t="shared" si="33"/>
        <v>0</v>
      </c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99">
        <f t="shared" si="34"/>
        <v>0</v>
      </c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99">
        <f t="shared" si="35"/>
        <v>0</v>
      </c>
      <c r="AE124" s="18"/>
      <c r="AF124" s="18"/>
      <c r="AG124" s="18"/>
      <c r="AH124" s="18"/>
      <c r="AI124" s="18"/>
      <c r="AJ124" s="18"/>
      <c r="AK124" s="18"/>
      <c r="AL124" s="18"/>
      <c r="AM124" s="18"/>
      <c r="AN124" s="18"/>
      <c r="AO124" s="18"/>
      <c r="AP124" s="18"/>
      <c r="AQ124" s="119">
        <f t="shared" si="36"/>
        <v>0</v>
      </c>
      <c r="AR124" s="18"/>
      <c r="AS124" s="18"/>
      <c r="AT124" s="18"/>
      <c r="AU124" s="18"/>
      <c r="AV124" s="18"/>
      <c r="AW124" s="18"/>
      <c r="AX124" s="18"/>
      <c r="AY124" s="18"/>
      <c r="AZ124" s="18"/>
      <c r="BA124" s="18"/>
      <c r="BB124" s="18"/>
      <c r="BC124" s="18"/>
      <c r="BD124" s="119">
        <f t="shared" si="37"/>
        <v>0</v>
      </c>
      <c r="BE124" s="18"/>
      <c r="BF124" s="18"/>
      <c r="BG124" s="18"/>
      <c r="BH124" s="18"/>
      <c r="BI124" s="18"/>
      <c r="BJ124" s="18"/>
      <c r="BK124" s="18"/>
      <c r="BL124" s="18"/>
      <c r="BM124" s="18"/>
      <c r="BN124" s="18"/>
      <c r="BO124" s="18"/>
      <c r="BP124" s="18"/>
      <c r="BQ124" s="119">
        <f t="shared" si="38"/>
        <v>0</v>
      </c>
    </row>
    <row r="125" spans="1:69" x14ac:dyDescent="0.3">
      <c r="A125" s="1"/>
      <c r="B125" s="14"/>
      <c r="C125" s="133"/>
      <c r="D125" s="18"/>
      <c r="E125" s="18">
        <f t="shared" si="33"/>
        <v>0</v>
      </c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99">
        <f t="shared" si="34"/>
        <v>0</v>
      </c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99">
        <f t="shared" si="35"/>
        <v>0</v>
      </c>
      <c r="AE125" s="18"/>
      <c r="AF125" s="18"/>
      <c r="AG125" s="18"/>
      <c r="AH125" s="18"/>
      <c r="AI125" s="18"/>
      <c r="AJ125" s="18"/>
      <c r="AK125" s="18"/>
      <c r="AL125" s="18"/>
      <c r="AM125" s="18"/>
      <c r="AN125" s="18"/>
      <c r="AO125" s="18"/>
      <c r="AP125" s="18"/>
      <c r="AQ125" s="119">
        <f t="shared" si="36"/>
        <v>0</v>
      </c>
      <c r="AR125" s="18"/>
      <c r="AS125" s="18"/>
      <c r="AT125" s="18"/>
      <c r="AU125" s="18"/>
      <c r="AV125" s="18"/>
      <c r="AW125" s="18"/>
      <c r="AX125" s="18"/>
      <c r="AY125" s="18"/>
      <c r="AZ125" s="18"/>
      <c r="BA125" s="18"/>
      <c r="BB125" s="18"/>
      <c r="BC125" s="18"/>
      <c r="BD125" s="119">
        <f t="shared" si="37"/>
        <v>0</v>
      </c>
      <c r="BE125" s="18"/>
      <c r="BF125" s="18"/>
      <c r="BG125" s="18"/>
      <c r="BH125" s="18"/>
      <c r="BI125" s="18"/>
      <c r="BJ125" s="18"/>
      <c r="BK125" s="18"/>
      <c r="BL125" s="18"/>
      <c r="BM125" s="18"/>
      <c r="BN125" s="18"/>
      <c r="BO125" s="18"/>
      <c r="BP125" s="18"/>
      <c r="BQ125" s="119">
        <f t="shared" si="38"/>
        <v>0</v>
      </c>
    </row>
    <row r="126" spans="1:69" x14ac:dyDescent="0.3">
      <c r="A126" s="1"/>
      <c r="B126" s="14"/>
      <c r="C126" s="133"/>
      <c r="D126" s="18"/>
      <c r="E126" s="18">
        <f t="shared" si="33"/>
        <v>0</v>
      </c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99">
        <f t="shared" si="34"/>
        <v>0</v>
      </c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99">
        <f t="shared" si="35"/>
        <v>0</v>
      </c>
      <c r="AE126" s="18"/>
      <c r="AF126" s="18"/>
      <c r="AG126" s="18"/>
      <c r="AH126" s="18"/>
      <c r="AI126" s="18"/>
      <c r="AJ126" s="18"/>
      <c r="AK126" s="18"/>
      <c r="AL126" s="18"/>
      <c r="AM126" s="18"/>
      <c r="AN126" s="18"/>
      <c r="AO126" s="18"/>
      <c r="AP126" s="18"/>
      <c r="AQ126" s="119">
        <f t="shared" si="36"/>
        <v>0</v>
      </c>
      <c r="AR126" s="18"/>
      <c r="AS126" s="18"/>
      <c r="AT126" s="18"/>
      <c r="AU126" s="18"/>
      <c r="AV126" s="18"/>
      <c r="AW126" s="18"/>
      <c r="AX126" s="18"/>
      <c r="AY126" s="18"/>
      <c r="AZ126" s="18"/>
      <c r="BA126" s="18"/>
      <c r="BB126" s="18"/>
      <c r="BC126" s="18"/>
      <c r="BD126" s="119">
        <f t="shared" si="37"/>
        <v>0</v>
      </c>
      <c r="BE126" s="18"/>
      <c r="BF126" s="18"/>
      <c r="BG126" s="18"/>
      <c r="BH126" s="18"/>
      <c r="BI126" s="18"/>
      <c r="BJ126" s="18"/>
      <c r="BK126" s="18"/>
      <c r="BL126" s="18"/>
      <c r="BM126" s="18"/>
      <c r="BN126" s="18"/>
      <c r="BO126" s="18"/>
      <c r="BP126" s="18"/>
      <c r="BQ126" s="119">
        <f t="shared" si="38"/>
        <v>0</v>
      </c>
    </row>
    <row r="127" spans="1:69" x14ac:dyDescent="0.3">
      <c r="A127" s="1"/>
      <c r="B127" s="14"/>
      <c r="C127" s="133"/>
      <c r="D127" s="18"/>
      <c r="E127" s="18">
        <f t="shared" si="33"/>
        <v>0</v>
      </c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99">
        <f t="shared" si="34"/>
        <v>0</v>
      </c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99">
        <f t="shared" si="35"/>
        <v>0</v>
      </c>
      <c r="AE127" s="18"/>
      <c r="AF127" s="18"/>
      <c r="AG127" s="18"/>
      <c r="AH127" s="18"/>
      <c r="AI127" s="18"/>
      <c r="AJ127" s="18"/>
      <c r="AK127" s="18"/>
      <c r="AL127" s="18"/>
      <c r="AM127" s="18"/>
      <c r="AN127" s="18"/>
      <c r="AO127" s="18"/>
      <c r="AP127" s="18"/>
      <c r="AQ127" s="119">
        <f t="shared" si="36"/>
        <v>0</v>
      </c>
      <c r="AR127" s="18"/>
      <c r="AS127" s="18"/>
      <c r="AT127" s="18"/>
      <c r="AU127" s="18"/>
      <c r="AV127" s="18"/>
      <c r="AW127" s="18"/>
      <c r="AX127" s="18"/>
      <c r="AY127" s="18"/>
      <c r="AZ127" s="18"/>
      <c r="BA127" s="18"/>
      <c r="BB127" s="18"/>
      <c r="BC127" s="18"/>
      <c r="BD127" s="119">
        <f t="shared" si="37"/>
        <v>0</v>
      </c>
      <c r="BE127" s="18"/>
      <c r="BF127" s="18"/>
      <c r="BG127" s="18"/>
      <c r="BH127" s="18"/>
      <c r="BI127" s="18"/>
      <c r="BJ127" s="18"/>
      <c r="BK127" s="18"/>
      <c r="BL127" s="18"/>
      <c r="BM127" s="18"/>
      <c r="BN127" s="18"/>
      <c r="BO127" s="18"/>
      <c r="BP127" s="18"/>
      <c r="BQ127" s="119">
        <f t="shared" si="38"/>
        <v>0</v>
      </c>
    </row>
    <row r="128" spans="1:69" x14ac:dyDescent="0.3">
      <c r="A128" s="1"/>
      <c r="B128" s="14"/>
      <c r="C128" s="133"/>
      <c r="D128" s="18"/>
      <c r="E128" s="18">
        <f t="shared" si="33"/>
        <v>0</v>
      </c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99">
        <f t="shared" si="34"/>
        <v>0</v>
      </c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99">
        <f t="shared" si="35"/>
        <v>0</v>
      </c>
      <c r="AE128" s="18"/>
      <c r="AF128" s="18"/>
      <c r="AG128" s="18"/>
      <c r="AH128" s="18"/>
      <c r="AI128" s="18"/>
      <c r="AJ128" s="18"/>
      <c r="AK128" s="18"/>
      <c r="AL128" s="18"/>
      <c r="AM128" s="18"/>
      <c r="AN128" s="18"/>
      <c r="AO128" s="18"/>
      <c r="AP128" s="18"/>
      <c r="AQ128" s="119">
        <f t="shared" si="36"/>
        <v>0</v>
      </c>
      <c r="AR128" s="18"/>
      <c r="AS128" s="18"/>
      <c r="AT128" s="18"/>
      <c r="AU128" s="18"/>
      <c r="AV128" s="18"/>
      <c r="AW128" s="18"/>
      <c r="AX128" s="18"/>
      <c r="AY128" s="18"/>
      <c r="AZ128" s="18"/>
      <c r="BA128" s="18"/>
      <c r="BB128" s="18"/>
      <c r="BC128" s="18"/>
      <c r="BD128" s="119">
        <f t="shared" si="37"/>
        <v>0</v>
      </c>
      <c r="BE128" s="18"/>
      <c r="BF128" s="18"/>
      <c r="BG128" s="18"/>
      <c r="BH128" s="18"/>
      <c r="BI128" s="18"/>
      <c r="BJ128" s="18"/>
      <c r="BK128" s="18"/>
      <c r="BL128" s="18"/>
      <c r="BM128" s="18"/>
      <c r="BN128" s="18"/>
      <c r="BO128" s="18"/>
      <c r="BP128" s="18"/>
      <c r="BQ128" s="119">
        <f t="shared" si="38"/>
        <v>0</v>
      </c>
    </row>
    <row r="129" spans="1:69" x14ac:dyDescent="0.3">
      <c r="A129" s="1"/>
      <c r="B129" s="14"/>
      <c r="C129" s="133"/>
      <c r="D129" s="18"/>
      <c r="E129" s="18">
        <f t="shared" si="33"/>
        <v>0</v>
      </c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99">
        <f t="shared" si="34"/>
        <v>0</v>
      </c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99">
        <f t="shared" si="35"/>
        <v>0</v>
      </c>
      <c r="AE129" s="18"/>
      <c r="AF129" s="18"/>
      <c r="AG129" s="18"/>
      <c r="AH129" s="18"/>
      <c r="AI129" s="18"/>
      <c r="AJ129" s="18"/>
      <c r="AK129" s="18"/>
      <c r="AL129" s="18"/>
      <c r="AM129" s="18"/>
      <c r="AN129" s="18"/>
      <c r="AO129" s="18"/>
      <c r="AP129" s="18"/>
      <c r="AQ129" s="119">
        <f t="shared" si="36"/>
        <v>0</v>
      </c>
      <c r="AR129" s="18"/>
      <c r="AS129" s="18"/>
      <c r="AT129" s="18"/>
      <c r="AU129" s="18"/>
      <c r="AV129" s="18"/>
      <c r="AW129" s="18"/>
      <c r="AX129" s="18"/>
      <c r="AY129" s="18"/>
      <c r="AZ129" s="18"/>
      <c r="BA129" s="18"/>
      <c r="BB129" s="18"/>
      <c r="BC129" s="18"/>
      <c r="BD129" s="119">
        <f t="shared" si="37"/>
        <v>0</v>
      </c>
      <c r="BE129" s="18"/>
      <c r="BF129" s="18"/>
      <c r="BG129" s="18"/>
      <c r="BH129" s="18"/>
      <c r="BI129" s="18"/>
      <c r="BJ129" s="18"/>
      <c r="BK129" s="18"/>
      <c r="BL129" s="18"/>
      <c r="BM129" s="18"/>
      <c r="BN129" s="18"/>
      <c r="BO129" s="18"/>
      <c r="BP129" s="18"/>
      <c r="BQ129" s="119">
        <f t="shared" si="38"/>
        <v>0</v>
      </c>
    </row>
    <row r="130" spans="1:69" x14ac:dyDescent="0.3">
      <c r="A130" s="1"/>
      <c r="B130" s="14"/>
      <c r="C130" s="133"/>
      <c r="D130" s="18"/>
      <c r="E130" s="18">
        <f t="shared" si="33"/>
        <v>0</v>
      </c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99">
        <f t="shared" si="34"/>
        <v>0</v>
      </c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99">
        <f t="shared" si="35"/>
        <v>0</v>
      </c>
      <c r="AE130" s="18"/>
      <c r="AF130" s="18"/>
      <c r="AG130" s="18"/>
      <c r="AH130" s="18"/>
      <c r="AI130" s="18"/>
      <c r="AJ130" s="18"/>
      <c r="AK130" s="18"/>
      <c r="AL130" s="18"/>
      <c r="AM130" s="18"/>
      <c r="AN130" s="18"/>
      <c r="AO130" s="18"/>
      <c r="AP130" s="18"/>
      <c r="AQ130" s="119">
        <f t="shared" si="36"/>
        <v>0</v>
      </c>
      <c r="AR130" s="18"/>
      <c r="AS130" s="18"/>
      <c r="AT130" s="18"/>
      <c r="AU130" s="18"/>
      <c r="AV130" s="18"/>
      <c r="AW130" s="18"/>
      <c r="AX130" s="18"/>
      <c r="AY130" s="18"/>
      <c r="AZ130" s="18"/>
      <c r="BA130" s="18"/>
      <c r="BB130" s="18"/>
      <c r="BC130" s="18"/>
      <c r="BD130" s="119">
        <f t="shared" si="37"/>
        <v>0</v>
      </c>
      <c r="BE130" s="18"/>
      <c r="BF130" s="18"/>
      <c r="BG130" s="18"/>
      <c r="BH130" s="18"/>
      <c r="BI130" s="18"/>
      <c r="BJ130" s="18"/>
      <c r="BK130" s="18"/>
      <c r="BL130" s="18"/>
      <c r="BM130" s="18"/>
      <c r="BN130" s="18"/>
      <c r="BO130" s="18"/>
      <c r="BP130" s="18"/>
      <c r="BQ130" s="119">
        <f t="shared" si="38"/>
        <v>0</v>
      </c>
    </row>
    <row r="131" spans="1:69" x14ac:dyDescent="0.3">
      <c r="A131" s="1"/>
      <c r="B131" s="14"/>
      <c r="C131" s="133"/>
      <c r="D131" s="18"/>
      <c r="E131" s="18">
        <f t="shared" ref="E131:E157" si="39">C131*D131</f>
        <v>0</v>
      </c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99">
        <f t="shared" si="34"/>
        <v>0</v>
      </c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99">
        <f t="shared" si="35"/>
        <v>0</v>
      </c>
      <c r="AE131" s="18"/>
      <c r="AF131" s="18"/>
      <c r="AG131" s="18"/>
      <c r="AH131" s="18"/>
      <c r="AI131" s="18"/>
      <c r="AJ131" s="18"/>
      <c r="AK131" s="18"/>
      <c r="AL131" s="18"/>
      <c r="AM131" s="18"/>
      <c r="AN131" s="18"/>
      <c r="AO131" s="18"/>
      <c r="AP131" s="18"/>
      <c r="AQ131" s="119">
        <f t="shared" si="36"/>
        <v>0</v>
      </c>
      <c r="AR131" s="18"/>
      <c r="AS131" s="18"/>
      <c r="AT131" s="18"/>
      <c r="AU131" s="18"/>
      <c r="AV131" s="18"/>
      <c r="AW131" s="18"/>
      <c r="AX131" s="18"/>
      <c r="AY131" s="18"/>
      <c r="AZ131" s="18"/>
      <c r="BA131" s="18"/>
      <c r="BB131" s="18"/>
      <c r="BC131" s="18"/>
      <c r="BD131" s="119">
        <f t="shared" si="37"/>
        <v>0</v>
      </c>
      <c r="BE131" s="18"/>
      <c r="BF131" s="18"/>
      <c r="BG131" s="18"/>
      <c r="BH131" s="18"/>
      <c r="BI131" s="18"/>
      <c r="BJ131" s="18"/>
      <c r="BK131" s="18"/>
      <c r="BL131" s="18"/>
      <c r="BM131" s="18"/>
      <c r="BN131" s="18"/>
      <c r="BO131" s="18"/>
      <c r="BP131" s="18"/>
      <c r="BQ131" s="119">
        <f t="shared" si="38"/>
        <v>0</v>
      </c>
    </row>
    <row r="132" spans="1:69" x14ac:dyDescent="0.3">
      <c r="A132" s="1"/>
      <c r="B132" s="14"/>
      <c r="C132" s="133"/>
      <c r="D132" s="18"/>
      <c r="E132" s="18">
        <f t="shared" si="39"/>
        <v>0</v>
      </c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99">
        <f t="shared" si="34"/>
        <v>0</v>
      </c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99">
        <f t="shared" si="35"/>
        <v>0</v>
      </c>
      <c r="AE132" s="18"/>
      <c r="AF132" s="18"/>
      <c r="AG132" s="18"/>
      <c r="AH132" s="18"/>
      <c r="AI132" s="18"/>
      <c r="AJ132" s="18"/>
      <c r="AK132" s="18"/>
      <c r="AL132" s="18"/>
      <c r="AM132" s="18"/>
      <c r="AN132" s="18"/>
      <c r="AO132" s="18"/>
      <c r="AP132" s="18"/>
      <c r="AQ132" s="119">
        <f t="shared" si="36"/>
        <v>0</v>
      </c>
      <c r="AR132" s="18"/>
      <c r="AS132" s="18"/>
      <c r="AT132" s="18"/>
      <c r="AU132" s="18"/>
      <c r="AV132" s="18"/>
      <c r="AW132" s="18"/>
      <c r="AX132" s="18"/>
      <c r="AY132" s="18"/>
      <c r="AZ132" s="18"/>
      <c r="BA132" s="18"/>
      <c r="BB132" s="18"/>
      <c r="BC132" s="18"/>
      <c r="BD132" s="119">
        <f t="shared" si="37"/>
        <v>0</v>
      </c>
      <c r="BE132" s="18"/>
      <c r="BF132" s="18"/>
      <c r="BG132" s="18"/>
      <c r="BH132" s="18"/>
      <c r="BI132" s="18"/>
      <c r="BJ132" s="18"/>
      <c r="BK132" s="18"/>
      <c r="BL132" s="18"/>
      <c r="BM132" s="18"/>
      <c r="BN132" s="18"/>
      <c r="BO132" s="18"/>
      <c r="BP132" s="18"/>
      <c r="BQ132" s="119">
        <f t="shared" si="38"/>
        <v>0</v>
      </c>
    </row>
    <row r="133" spans="1:69" x14ac:dyDescent="0.3">
      <c r="A133" s="1"/>
      <c r="B133" s="14"/>
      <c r="C133" s="133"/>
      <c r="D133" s="18"/>
      <c r="E133" s="18">
        <f t="shared" si="39"/>
        <v>0</v>
      </c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99">
        <f t="shared" si="34"/>
        <v>0</v>
      </c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99">
        <f t="shared" si="35"/>
        <v>0</v>
      </c>
      <c r="AE133" s="18"/>
      <c r="AF133" s="18"/>
      <c r="AG133" s="18"/>
      <c r="AH133" s="18"/>
      <c r="AI133" s="18"/>
      <c r="AJ133" s="18"/>
      <c r="AK133" s="18"/>
      <c r="AL133" s="18"/>
      <c r="AM133" s="18"/>
      <c r="AN133" s="18"/>
      <c r="AO133" s="18"/>
      <c r="AP133" s="18"/>
      <c r="AQ133" s="119">
        <f t="shared" si="36"/>
        <v>0</v>
      </c>
      <c r="AR133" s="18"/>
      <c r="AS133" s="18"/>
      <c r="AT133" s="18"/>
      <c r="AU133" s="18"/>
      <c r="AV133" s="18"/>
      <c r="AW133" s="18"/>
      <c r="AX133" s="18"/>
      <c r="AY133" s="18"/>
      <c r="AZ133" s="18"/>
      <c r="BA133" s="18"/>
      <c r="BB133" s="18"/>
      <c r="BC133" s="18"/>
      <c r="BD133" s="119">
        <f t="shared" si="37"/>
        <v>0</v>
      </c>
      <c r="BE133" s="18"/>
      <c r="BF133" s="18"/>
      <c r="BG133" s="18"/>
      <c r="BH133" s="18"/>
      <c r="BI133" s="18"/>
      <c r="BJ133" s="18"/>
      <c r="BK133" s="18"/>
      <c r="BL133" s="18"/>
      <c r="BM133" s="18"/>
      <c r="BN133" s="18"/>
      <c r="BO133" s="18"/>
      <c r="BP133" s="18"/>
      <c r="BQ133" s="119">
        <f t="shared" si="38"/>
        <v>0</v>
      </c>
    </row>
    <row r="134" spans="1:69" x14ac:dyDescent="0.3">
      <c r="A134" s="1"/>
      <c r="B134" s="14"/>
      <c r="C134" s="133"/>
      <c r="D134" s="18"/>
      <c r="E134" s="18">
        <f t="shared" si="39"/>
        <v>0</v>
      </c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99">
        <f t="shared" si="34"/>
        <v>0</v>
      </c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99">
        <f t="shared" si="35"/>
        <v>0</v>
      </c>
      <c r="AE134" s="18"/>
      <c r="AF134" s="18"/>
      <c r="AG134" s="18"/>
      <c r="AH134" s="18"/>
      <c r="AI134" s="18"/>
      <c r="AJ134" s="18"/>
      <c r="AK134" s="18"/>
      <c r="AL134" s="18"/>
      <c r="AM134" s="18"/>
      <c r="AN134" s="18"/>
      <c r="AO134" s="18"/>
      <c r="AP134" s="18"/>
      <c r="AQ134" s="119">
        <f t="shared" si="36"/>
        <v>0</v>
      </c>
      <c r="AR134" s="18"/>
      <c r="AS134" s="18"/>
      <c r="AT134" s="18"/>
      <c r="AU134" s="18"/>
      <c r="AV134" s="18"/>
      <c r="AW134" s="18"/>
      <c r="AX134" s="18"/>
      <c r="AY134" s="18"/>
      <c r="AZ134" s="18"/>
      <c r="BA134" s="18"/>
      <c r="BB134" s="18"/>
      <c r="BC134" s="18"/>
      <c r="BD134" s="119">
        <f t="shared" si="37"/>
        <v>0</v>
      </c>
      <c r="BE134" s="18"/>
      <c r="BF134" s="18"/>
      <c r="BG134" s="18"/>
      <c r="BH134" s="18"/>
      <c r="BI134" s="18"/>
      <c r="BJ134" s="18"/>
      <c r="BK134" s="18"/>
      <c r="BL134" s="18"/>
      <c r="BM134" s="18"/>
      <c r="BN134" s="18"/>
      <c r="BO134" s="18"/>
      <c r="BP134" s="18"/>
      <c r="BQ134" s="119">
        <f t="shared" si="38"/>
        <v>0</v>
      </c>
    </row>
    <row r="135" spans="1:69" x14ac:dyDescent="0.3">
      <c r="A135" s="1"/>
      <c r="B135" s="14"/>
      <c r="C135" s="133"/>
      <c r="D135" s="18"/>
      <c r="E135" s="18">
        <f t="shared" si="39"/>
        <v>0</v>
      </c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99">
        <f t="shared" si="34"/>
        <v>0</v>
      </c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99">
        <f t="shared" si="35"/>
        <v>0</v>
      </c>
      <c r="AE135" s="18"/>
      <c r="AF135" s="18"/>
      <c r="AG135" s="18"/>
      <c r="AH135" s="18"/>
      <c r="AI135" s="18"/>
      <c r="AJ135" s="18"/>
      <c r="AK135" s="18"/>
      <c r="AL135" s="18"/>
      <c r="AM135" s="18"/>
      <c r="AN135" s="18"/>
      <c r="AO135" s="18"/>
      <c r="AP135" s="18"/>
      <c r="AQ135" s="119">
        <f t="shared" si="36"/>
        <v>0</v>
      </c>
      <c r="AR135" s="18"/>
      <c r="AS135" s="18"/>
      <c r="AT135" s="18"/>
      <c r="AU135" s="18"/>
      <c r="AV135" s="18"/>
      <c r="AW135" s="18"/>
      <c r="AX135" s="18"/>
      <c r="AY135" s="18"/>
      <c r="AZ135" s="18"/>
      <c r="BA135" s="18"/>
      <c r="BB135" s="18"/>
      <c r="BC135" s="18"/>
      <c r="BD135" s="119">
        <f t="shared" si="37"/>
        <v>0</v>
      </c>
      <c r="BE135" s="18"/>
      <c r="BF135" s="18"/>
      <c r="BG135" s="18"/>
      <c r="BH135" s="18"/>
      <c r="BI135" s="18"/>
      <c r="BJ135" s="18"/>
      <c r="BK135" s="18"/>
      <c r="BL135" s="18"/>
      <c r="BM135" s="18"/>
      <c r="BN135" s="18"/>
      <c r="BO135" s="18"/>
      <c r="BP135" s="18"/>
      <c r="BQ135" s="119">
        <f t="shared" si="38"/>
        <v>0</v>
      </c>
    </row>
    <row r="136" spans="1:69" x14ac:dyDescent="0.3">
      <c r="A136" s="1"/>
      <c r="B136" s="14"/>
      <c r="C136" s="133"/>
      <c r="D136" s="18"/>
      <c r="E136" s="18">
        <f t="shared" si="39"/>
        <v>0</v>
      </c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99">
        <f t="shared" si="34"/>
        <v>0</v>
      </c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99">
        <f t="shared" si="35"/>
        <v>0</v>
      </c>
      <c r="AE136" s="18"/>
      <c r="AF136" s="18"/>
      <c r="AG136" s="18"/>
      <c r="AH136" s="18"/>
      <c r="AI136" s="18"/>
      <c r="AJ136" s="18"/>
      <c r="AK136" s="18"/>
      <c r="AL136" s="18"/>
      <c r="AM136" s="18"/>
      <c r="AN136" s="18"/>
      <c r="AO136" s="18"/>
      <c r="AP136" s="18"/>
      <c r="AQ136" s="119">
        <f t="shared" si="36"/>
        <v>0</v>
      </c>
      <c r="AR136" s="18"/>
      <c r="AS136" s="18"/>
      <c r="AT136" s="18"/>
      <c r="AU136" s="18"/>
      <c r="AV136" s="18"/>
      <c r="AW136" s="18"/>
      <c r="AX136" s="18"/>
      <c r="AY136" s="18"/>
      <c r="AZ136" s="18"/>
      <c r="BA136" s="18"/>
      <c r="BB136" s="18"/>
      <c r="BC136" s="18"/>
      <c r="BD136" s="119">
        <f t="shared" si="37"/>
        <v>0</v>
      </c>
      <c r="BE136" s="18"/>
      <c r="BF136" s="18"/>
      <c r="BG136" s="18"/>
      <c r="BH136" s="18"/>
      <c r="BI136" s="18"/>
      <c r="BJ136" s="18"/>
      <c r="BK136" s="18"/>
      <c r="BL136" s="18"/>
      <c r="BM136" s="18"/>
      <c r="BN136" s="18"/>
      <c r="BO136" s="18"/>
      <c r="BP136" s="18"/>
      <c r="BQ136" s="119">
        <f t="shared" si="38"/>
        <v>0</v>
      </c>
    </row>
    <row r="137" spans="1:69" x14ac:dyDescent="0.3">
      <c r="A137" s="1"/>
      <c r="B137" s="14"/>
      <c r="C137" s="133"/>
      <c r="D137" s="18"/>
      <c r="E137" s="18">
        <f t="shared" si="39"/>
        <v>0</v>
      </c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99">
        <f t="shared" si="34"/>
        <v>0</v>
      </c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99">
        <f t="shared" si="35"/>
        <v>0</v>
      </c>
      <c r="AE137" s="18"/>
      <c r="AF137" s="18"/>
      <c r="AG137" s="18"/>
      <c r="AH137" s="18"/>
      <c r="AI137" s="18"/>
      <c r="AJ137" s="18"/>
      <c r="AK137" s="18"/>
      <c r="AL137" s="18"/>
      <c r="AM137" s="18"/>
      <c r="AN137" s="18"/>
      <c r="AO137" s="18"/>
      <c r="AP137" s="18"/>
      <c r="AQ137" s="119">
        <f t="shared" si="36"/>
        <v>0</v>
      </c>
      <c r="AR137" s="18"/>
      <c r="AS137" s="18"/>
      <c r="AT137" s="18"/>
      <c r="AU137" s="18"/>
      <c r="AV137" s="18"/>
      <c r="AW137" s="18"/>
      <c r="AX137" s="18"/>
      <c r="AY137" s="18"/>
      <c r="AZ137" s="18"/>
      <c r="BA137" s="18"/>
      <c r="BB137" s="18"/>
      <c r="BC137" s="18"/>
      <c r="BD137" s="119">
        <f t="shared" si="37"/>
        <v>0</v>
      </c>
      <c r="BE137" s="18"/>
      <c r="BF137" s="18"/>
      <c r="BG137" s="18"/>
      <c r="BH137" s="18"/>
      <c r="BI137" s="18"/>
      <c r="BJ137" s="18"/>
      <c r="BK137" s="18"/>
      <c r="BL137" s="18"/>
      <c r="BM137" s="18"/>
      <c r="BN137" s="18"/>
      <c r="BO137" s="18"/>
      <c r="BP137" s="18"/>
      <c r="BQ137" s="119">
        <f t="shared" si="38"/>
        <v>0</v>
      </c>
    </row>
    <row r="138" spans="1:69" x14ac:dyDescent="0.3">
      <c r="A138" s="1"/>
      <c r="B138" s="14"/>
      <c r="C138" s="133"/>
      <c r="D138" s="18"/>
      <c r="E138" s="18">
        <f t="shared" si="39"/>
        <v>0</v>
      </c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99">
        <f t="shared" ref="Q138:Q157" si="40">SUM(E138:P138)</f>
        <v>0</v>
      </c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99">
        <f t="shared" ref="AD138:AD157" si="41">SUM(R138:AC138)</f>
        <v>0</v>
      </c>
      <c r="AE138" s="18"/>
      <c r="AF138" s="18"/>
      <c r="AG138" s="18"/>
      <c r="AH138" s="18"/>
      <c r="AI138" s="18"/>
      <c r="AJ138" s="18"/>
      <c r="AK138" s="18"/>
      <c r="AL138" s="18"/>
      <c r="AM138" s="18"/>
      <c r="AN138" s="18"/>
      <c r="AO138" s="18"/>
      <c r="AP138" s="18"/>
      <c r="AQ138" s="119">
        <f t="shared" ref="AQ138:AQ157" si="42">SUM(AE138:AP138)</f>
        <v>0</v>
      </c>
      <c r="AR138" s="18"/>
      <c r="AS138" s="18"/>
      <c r="AT138" s="18"/>
      <c r="AU138" s="18"/>
      <c r="AV138" s="18"/>
      <c r="AW138" s="18"/>
      <c r="AX138" s="18"/>
      <c r="AY138" s="18"/>
      <c r="AZ138" s="18"/>
      <c r="BA138" s="18"/>
      <c r="BB138" s="18"/>
      <c r="BC138" s="18"/>
      <c r="BD138" s="119">
        <f t="shared" ref="BD138:BD157" si="43">SUM(AR138:BC138)</f>
        <v>0</v>
      </c>
      <c r="BE138" s="18"/>
      <c r="BF138" s="18"/>
      <c r="BG138" s="18"/>
      <c r="BH138" s="18"/>
      <c r="BI138" s="18"/>
      <c r="BJ138" s="18"/>
      <c r="BK138" s="18"/>
      <c r="BL138" s="18"/>
      <c r="BM138" s="18"/>
      <c r="BN138" s="18"/>
      <c r="BO138" s="18"/>
      <c r="BP138" s="18"/>
      <c r="BQ138" s="119">
        <f t="shared" ref="BQ138:BQ157" si="44">SUM(BE138:BP138)</f>
        <v>0</v>
      </c>
    </row>
    <row r="139" spans="1:69" x14ac:dyDescent="0.3">
      <c r="A139" s="1"/>
      <c r="B139" s="14"/>
      <c r="C139" s="133"/>
      <c r="D139" s="18"/>
      <c r="E139" s="18">
        <f t="shared" si="39"/>
        <v>0</v>
      </c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99">
        <f t="shared" si="40"/>
        <v>0</v>
      </c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99">
        <f t="shared" si="41"/>
        <v>0</v>
      </c>
      <c r="AE139" s="18"/>
      <c r="AF139" s="18"/>
      <c r="AG139" s="18"/>
      <c r="AH139" s="18"/>
      <c r="AI139" s="18"/>
      <c r="AJ139" s="18"/>
      <c r="AK139" s="18"/>
      <c r="AL139" s="18"/>
      <c r="AM139" s="18"/>
      <c r="AN139" s="18"/>
      <c r="AO139" s="18"/>
      <c r="AP139" s="18"/>
      <c r="AQ139" s="119">
        <f t="shared" si="42"/>
        <v>0</v>
      </c>
      <c r="AR139" s="18"/>
      <c r="AS139" s="18"/>
      <c r="AT139" s="18"/>
      <c r="AU139" s="18"/>
      <c r="AV139" s="18"/>
      <c r="AW139" s="18"/>
      <c r="AX139" s="18"/>
      <c r="AY139" s="18"/>
      <c r="AZ139" s="18"/>
      <c r="BA139" s="18"/>
      <c r="BB139" s="18"/>
      <c r="BC139" s="18"/>
      <c r="BD139" s="119">
        <f t="shared" si="43"/>
        <v>0</v>
      </c>
      <c r="BE139" s="18"/>
      <c r="BF139" s="18"/>
      <c r="BG139" s="18"/>
      <c r="BH139" s="18"/>
      <c r="BI139" s="18"/>
      <c r="BJ139" s="18"/>
      <c r="BK139" s="18"/>
      <c r="BL139" s="18"/>
      <c r="BM139" s="18"/>
      <c r="BN139" s="18"/>
      <c r="BO139" s="18"/>
      <c r="BP139" s="18"/>
      <c r="BQ139" s="119">
        <f t="shared" si="44"/>
        <v>0</v>
      </c>
    </row>
    <row r="140" spans="1:69" x14ac:dyDescent="0.3">
      <c r="A140" s="1"/>
      <c r="B140" s="14"/>
      <c r="C140" s="133"/>
      <c r="D140" s="18"/>
      <c r="E140" s="18">
        <f t="shared" si="39"/>
        <v>0</v>
      </c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99">
        <f t="shared" si="40"/>
        <v>0</v>
      </c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99">
        <f t="shared" si="41"/>
        <v>0</v>
      </c>
      <c r="AE140" s="18"/>
      <c r="AF140" s="18"/>
      <c r="AG140" s="18"/>
      <c r="AH140" s="18"/>
      <c r="AI140" s="18"/>
      <c r="AJ140" s="18"/>
      <c r="AK140" s="18"/>
      <c r="AL140" s="18"/>
      <c r="AM140" s="18"/>
      <c r="AN140" s="18"/>
      <c r="AO140" s="18"/>
      <c r="AP140" s="18"/>
      <c r="AQ140" s="119">
        <f t="shared" si="42"/>
        <v>0</v>
      </c>
      <c r="AR140" s="18"/>
      <c r="AS140" s="18"/>
      <c r="AT140" s="18"/>
      <c r="AU140" s="18"/>
      <c r="AV140" s="18"/>
      <c r="AW140" s="18"/>
      <c r="AX140" s="18"/>
      <c r="AY140" s="18"/>
      <c r="AZ140" s="18"/>
      <c r="BA140" s="18"/>
      <c r="BB140" s="18"/>
      <c r="BC140" s="18"/>
      <c r="BD140" s="119">
        <f t="shared" si="43"/>
        <v>0</v>
      </c>
      <c r="BE140" s="18"/>
      <c r="BF140" s="18"/>
      <c r="BG140" s="18"/>
      <c r="BH140" s="18"/>
      <c r="BI140" s="18"/>
      <c r="BJ140" s="18"/>
      <c r="BK140" s="18"/>
      <c r="BL140" s="18"/>
      <c r="BM140" s="18"/>
      <c r="BN140" s="18"/>
      <c r="BO140" s="18"/>
      <c r="BP140" s="18"/>
      <c r="BQ140" s="119">
        <f t="shared" si="44"/>
        <v>0</v>
      </c>
    </row>
    <row r="141" spans="1:69" x14ac:dyDescent="0.3">
      <c r="A141" s="1"/>
      <c r="B141" s="14"/>
      <c r="C141" s="133"/>
      <c r="D141" s="18"/>
      <c r="E141" s="18">
        <f t="shared" si="39"/>
        <v>0</v>
      </c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99">
        <f t="shared" si="40"/>
        <v>0</v>
      </c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99">
        <f t="shared" si="41"/>
        <v>0</v>
      </c>
      <c r="AE141" s="18"/>
      <c r="AF141" s="18"/>
      <c r="AG141" s="18"/>
      <c r="AH141" s="18"/>
      <c r="AI141" s="18"/>
      <c r="AJ141" s="18"/>
      <c r="AK141" s="18"/>
      <c r="AL141" s="18"/>
      <c r="AM141" s="18"/>
      <c r="AN141" s="18"/>
      <c r="AO141" s="18"/>
      <c r="AP141" s="18"/>
      <c r="AQ141" s="119">
        <f t="shared" si="42"/>
        <v>0</v>
      </c>
      <c r="AR141" s="18"/>
      <c r="AS141" s="18"/>
      <c r="AT141" s="18"/>
      <c r="AU141" s="18"/>
      <c r="AV141" s="18"/>
      <c r="AW141" s="18"/>
      <c r="AX141" s="18"/>
      <c r="AY141" s="18"/>
      <c r="AZ141" s="18"/>
      <c r="BA141" s="18"/>
      <c r="BB141" s="18"/>
      <c r="BC141" s="18"/>
      <c r="BD141" s="119">
        <f t="shared" si="43"/>
        <v>0</v>
      </c>
      <c r="BE141" s="18"/>
      <c r="BF141" s="18"/>
      <c r="BG141" s="18"/>
      <c r="BH141" s="18"/>
      <c r="BI141" s="18"/>
      <c r="BJ141" s="18"/>
      <c r="BK141" s="18"/>
      <c r="BL141" s="18"/>
      <c r="BM141" s="18"/>
      <c r="BN141" s="18"/>
      <c r="BO141" s="18"/>
      <c r="BP141" s="18"/>
      <c r="BQ141" s="119">
        <f t="shared" si="44"/>
        <v>0</v>
      </c>
    </row>
    <row r="142" spans="1:69" x14ac:dyDescent="0.3">
      <c r="A142" s="1"/>
      <c r="B142" s="14"/>
      <c r="C142" s="133"/>
      <c r="D142" s="18"/>
      <c r="E142" s="18">
        <f t="shared" si="39"/>
        <v>0</v>
      </c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99">
        <f t="shared" si="40"/>
        <v>0</v>
      </c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99">
        <f t="shared" si="41"/>
        <v>0</v>
      </c>
      <c r="AE142" s="18"/>
      <c r="AF142" s="18"/>
      <c r="AG142" s="18"/>
      <c r="AH142" s="18"/>
      <c r="AI142" s="18"/>
      <c r="AJ142" s="18"/>
      <c r="AK142" s="18"/>
      <c r="AL142" s="18"/>
      <c r="AM142" s="18"/>
      <c r="AN142" s="18"/>
      <c r="AO142" s="18"/>
      <c r="AP142" s="18"/>
      <c r="AQ142" s="119">
        <f t="shared" si="42"/>
        <v>0</v>
      </c>
      <c r="AR142" s="18"/>
      <c r="AS142" s="18"/>
      <c r="AT142" s="18"/>
      <c r="AU142" s="18"/>
      <c r="AV142" s="18"/>
      <c r="AW142" s="18"/>
      <c r="AX142" s="18"/>
      <c r="AY142" s="18"/>
      <c r="AZ142" s="18"/>
      <c r="BA142" s="18"/>
      <c r="BB142" s="18"/>
      <c r="BC142" s="18"/>
      <c r="BD142" s="119">
        <f t="shared" si="43"/>
        <v>0</v>
      </c>
      <c r="BE142" s="18"/>
      <c r="BF142" s="18"/>
      <c r="BG142" s="18"/>
      <c r="BH142" s="18"/>
      <c r="BI142" s="18"/>
      <c r="BJ142" s="18"/>
      <c r="BK142" s="18"/>
      <c r="BL142" s="18"/>
      <c r="BM142" s="18"/>
      <c r="BN142" s="18"/>
      <c r="BO142" s="18"/>
      <c r="BP142" s="18"/>
      <c r="BQ142" s="119">
        <f t="shared" si="44"/>
        <v>0</v>
      </c>
    </row>
    <row r="143" spans="1:69" x14ac:dyDescent="0.3">
      <c r="A143" s="1"/>
      <c r="B143" s="14"/>
      <c r="C143" s="133"/>
      <c r="D143" s="18"/>
      <c r="E143" s="18">
        <f t="shared" si="39"/>
        <v>0</v>
      </c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99">
        <f t="shared" si="40"/>
        <v>0</v>
      </c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99">
        <f t="shared" si="41"/>
        <v>0</v>
      </c>
      <c r="AE143" s="18"/>
      <c r="AF143" s="18"/>
      <c r="AG143" s="18"/>
      <c r="AH143" s="18"/>
      <c r="AI143" s="18"/>
      <c r="AJ143" s="18"/>
      <c r="AK143" s="18"/>
      <c r="AL143" s="18"/>
      <c r="AM143" s="18"/>
      <c r="AN143" s="18"/>
      <c r="AO143" s="18"/>
      <c r="AP143" s="18"/>
      <c r="AQ143" s="119">
        <f t="shared" si="42"/>
        <v>0</v>
      </c>
      <c r="AR143" s="18"/>
      <c r="AS143" s="18"/>
      <c r="AT143" s="18"/>
      <c r="AU143" s="18"/>
      <c r="AV143" s="18"/>
      <c r="AW143" s="18"/>
      <c r="AX143" s="18"/>
      <c r="AY143" s="18"/>
      <c r="AZ143" s="18"/>
      <c r="BA143" s="18"/>
      <c r="BB143" s="18"/>
      <c r="BC143" s="18"/>
      <c r="BD143" s="119">
        <f t="shared" si="43"/>
        <v>0</v>
      </c>
      <c r="BE143" s="18"/>
      <c r="BF143" s="18"/>
      <c r="BG143" s="18"/>
      <c r="BH143" s="18"/>
      <c r="BI143" s="18"/>
      <c r="BJ143" s="18"/>
      <c r="BK143" s="18"/>
      <c r="BL143" s="18"/>
      <c r="BM143" s="18"/>
      <c r="BN143" s="18"/>
      <c r="BO143" s="18"/>
      <c r="BP143" s="18"/>
      <c r="BQ143" s="119">
        <f t="shared" si="44"/>
        <v>0</v>
      </c>
    </row>
    <row r="144" spans="1:69" x14ac:dyDescent="0.3">
      <c r="A144" s="1"/>
      <c r="B144" s="14"/>
      <c r="C144" s="133"/>
      <c r="D144" s="18"/>
      <c r="E144" s="18">
        <f t="shared" si="39"/>
        <v>0</v>
      </c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99">
        <f t="shared" si="40"/>
        <v>0</v>
      </c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99">
        <f t="shared" si="41"/>
        <v>0</v>
      </c>
      <c r="AE144" s="18"/>
      <c r="AF144" s="18"/>
      <c r="AG144" s="18"/>
      <c r="AH144" s="18"/>
      <c r="AI144" s="18"/>
      <c r="AJ144" s="18"/>
      <c r="AK144" s="18"/>
      <c r="AL144" s="18"/>
      <c r="AM144" s="18"/>
      <c r="AN144" s="18"/>
      <c r="AO144" s="18"/>
      <c r="AP144" s="18"/>
      <c r="AQ144" s="119">
        <f t="shared" si="42"/>
        <v>0</v>
      </c>
      <c r="AR144" s="18"/>
      <c r="AS144" s="18"/>
      <c r="AT144" s="18"/>
      <c r="AU144" s="18"/>
      <c r="AV144" s="18"/>
      <c r="AW144" s="18"/>
      <c r="AX144" s="18"/>
      <c r="AY144" s="18"/>
      <c r="AZ144" s="18"/>
      <c r="BA144" s="18"/>
      <c r="BB144" s="18"/>
      <c r="BC144" s="18"/>
      <c r="BD144" s="119">
        <f t="shared" si="43"/>
        <v>0</v>
      </c>
      <c r="BE144" s="18"/>
      <c r="BF144" s="18"/>
      <c r="BG144" s="18"/>
      <c r="BH144" s="18"/>
      <c r="BI144" s="18"/>
      <c r="BJ144" s="18"/>
      <c r="BK144" s="18"/>
      <c r="BL144" s="18"/>
      <c r="BM144" s="18"/>
      <c r="BN144" s="18"/>
      <c r="BO144" s="18"/>
      <c r="BP144" s="18"/>
      <c r="BQ144" s="119">
        <f t="shared" si="44"/>
        <v>0</v>
      </c>
    </row>
    <row r="145" spans="1:69" x14ac:dyDescent="0.3">
      <c r="A145" s="1"/>
      <c r="B145" s="14"/>
      <c r="C145" s="133"/>
      <c r="D145" s="18"/>
      <c r="E145" s="18">
        <f t="shared" si="39"/>
        <v>0</v>
      </c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99">
        <f t="shared" si="40"/>
        <v>0</v>
      </c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99">
        <f t="shared" si="41"/>
        <v>0</v>
      </c>
      <c r="AE145" s="18"/>
      <c r="AF145" s="18"/>
      <c r="AG145" s="18"/>
      <c r="AH145" s="18"/>
      <c r="AI145" s="18"/>
      <c r="AJ145" s="18"/>
      <c r="AK145" s="18"/>
      <c r="AL145" s="18"/>
      <c r="AM145" s="18"/>
      <c r="AN145" s="18"/>
      <c r="AO145" s="18"/>
      <c r="AP145" s="18"/>
      <c r="AQ145" s="119">
        <f t="shared" si="42"/>
        <v>0</v>
      </c>
      <c r="AR145" s="18"/>
      <c r="AS145" s="18"/>
      <c r="AT145" s="18"/>
      <c r="AU145" s="18"/>
      <c r="AV145" s="18"/>
      <c r="AW145" s="18"/>
      <c r="AX145" s="18"/>
      <c r="AY145" s="18"/>
      <c r="AZ145" s="18"/>
      <c r="BA145" s="18"/>
      <c r="BB145" s="18"/>
      <c r="BC145" s="18"/>
      <c r="BD145" s="119">
        <f t="shared" si="43"/>
        <v>0</v>
      </c>
      <c r="BE145" s="18"/>
      <c r="BF145" s="18"/>
      <c r="BG145" s="18"/>
      <c r="BH145" s="18"/>
      <c r="BI145" s="18"/>
      <c r="BJ145" s="18"/>
      <c r="BK145" s="18"/>
      <c r="BL145" s="18"/>
      <c r="BM145" s="18"/>
      <c r="BN145" s="18"/>
      <c r="BO145" s="18"/>
      <c r="BP145" s="18"/>
      <c r="BQ145" s="119">
        <f t="shared" si="44"/>
        <v>0</v>
      </c>
    </row>
    <row r="146" spans="1:69" x14ac:dyDescent="0.3">
      <c r="A146" s="1"/>
      <c r="B146" s="14"/>
      <c r="C146" s="133"/>
      <c r="D146" s="18"/>
      <c r="E146" s="18">
        <f t="shared" si="39"/>
        <v>0</v>
      </c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99">
        <f t="shared" si="40"/>
        <v>0</v>
      </c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99">
        <f t="shared" si="41"/>
        <v>0</v>
      </c>
      <c r="AE146" s="18"/>
      <c r="AF146" s="18"/>
      <c r="AG146" s="18"/>
      <c r="AH146" s="18"/>
      <c r="AI146" s="18"/>
      <c r="AJ146" s="18"/>
      <c r="AK146" s="18"/>
      <c r="AL146" s="18"/>
      <c r="AM146" s="18"/>
      <c r="AN146" s="18"/>
      <c r="AO146" s="18"/>
      <c r="AP146" s="18"/>
      <c r="AQ146" s="119">
        <f t="shared" si="42"/>
        <v>0</v>
      </c>
      <c r="AR146" s="18"/>
      <c r="AS146" s="18"/>
      <c r="AT146" s="18"/>
      <c r="AU146" s="18"/>
      <c r="AV146" s="18"/>
      <c r="AW146" s="18"/>
      <c r="AX146" s="18"/>
      <c r="AY146" s="18"/>
      <c r="AZ146" s="18"/>
      <c r="BA146" s="18"/>
      <c r="BB146" s="18"/>
      <c r="BC146" s="18"/>
      <c r="BD146" s="119">
        <f t="shared" si="43"/>
        <v>0</v>
      </c>
      <c r="BE146" s="18"/>
      <c r="BF146" s="18"/>
      <c r="BG146" s="18"/>
      <c r="BH146" s="18"/>
      <c r="BI146" s="18"/>
      <c r="BJ146" s="18"/>
      <c r="BK146" s="18"/>
      <c r="BL146" s="18"/>
      <c r="BM146" s="18"/>
      <c r="BN146" s="18"/>
      <c r="BO146" s="18"/>
      <c r="BP146" s="18"/>
      <c r="BQ146" s="119">
        <f t="shared" si="44"/>
        <v>0</v>
      </c>
    </row>
    <row r="147" spans="1:69" x14ac:dyDescent="0.3">
      <c r="A147" s="1"/>
      <c r="B147" s="14"/>
      <c r="C147" s="133"/>
      <c r="D147" s="18"/>
      <c r="E147" s="18">
        <f t="shared" si="39"/>
        <v>0</v>
      </c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99">
        <f t="shared" si="40"/>
        <v>0</v>
      </c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99">
        <f t="shared" si="41"/>
        <v>0</v>
      </c>
      <c r="AE147" s="18"/>
      <c r="AF147" s="18"/>
      <c r="AG147" s="18"/>
      <c r="AH147" s="18"/>
      <c r="AI147" s="18"/>
      <c r="AJ147" s="18"/>
      <c r="AK147" s="18"/>
      <c r="AL147" s="18"/>
      <c r="AM147" s="18"/>
      <c r="AN147" s="18"/>
      <c r="AO147" s="18"/>
      <c r="AP147" s="18"/>
      <c r="AQ147" s="119">
        <f t="shared" si="42"/>
        <v>0</v>
      </c>
      <c r="AR147" s="18"/>
      <c r="AS147" s="18"/>
      <c r="AT147" s="18"/>
      <c r="AU147" s="18"/>
      <c r="AV147" s="18"/>
      <c r="AW147" s="18"/>
      <c r="AX147" s="18"/>
      <c r="AY147" s="18"/>
      <c r="AZ147" s="18"/>
      <c r="BA147" s="18"/>
      <c r="BB147" s="18"/>
      <c r="BC147" s="18"/>
      <c r="BD147" s="119">
        <f t="shared" si="43"/>
        <v>0</v>
      </c>
      <c r="BE147" s="18"/>
      <c r="BF147" s="18"/>
      <c r="BG147" s="18"/>
      <c r="BH147" s="18"/>
      <c r="BI147" s="18"/>
      <c r="BJ147" s="18"/>
      <c r="BK147" s="18"/>
      <c r="BL147" s="18"/>
      <c r="BM147" s="18"/>
      <c r="BN147" s="18"/>
      <c r="BO147" s="18"/>
      <c r="BP147" s="18"/>
      <c r="BQ147" s="119">
        <f t="shared" si="44"/>
        <v>0</v>
      </c>
    </row>
    <row r="148" spans="1:69" x14ac:dyDescent="0.3">
      <c r="A148" s="1"/>
      <c r="B148" s="14"/>
      <c r="C148" s="133"/>
      <c r="D148" s="18"/>
      <c r="E148" s="18">
        <f t="shared" si="39"/>
        <v>0</v>
      </c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99">
        <f t="shared" si="40"/>
        <v>0</v>
      </c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99">
        <f t="shared" si="41"/>
        <v>0</v>
      </c>
      <c r="AE148" s="18"/>
      <c r="AF148" s="18"/>
      <c r="AG148" s="18"/>
      <c r="AH148" s="18"/>
      <c r="AI148" s="18"/>
      <c r="AJ148" s="18"/>
      <c r="AK148" s="18"/>
      <c r="AL148" s="18"/>
      <c r="AM148" s="18"/>
      <c r="AN148" s="18"/>
      <c r="AO148" s="18"/>
      <c r="AP148" s="18"/>
      <c r="AQ148" s="119">
        <f t="shared" si="42"/>
        <v>0</v>
      </c>
      <c r="AR148" s="18"/>
      <c r="AS148" s="18"/>
      <c r="AT148" s="18"/>
      <c r="AU148" s="18"/>
      <c r="AV148" s="18"/>
      <c r="AW148" s="18"/>
      <c r="AX148" s="18"/>
      <c r="AY148" s="18"/>
      <c r="AZ148" s="18"/>
      <c r="BA148" s="18"/>
      <c r="BB148" s="18"/>
      <c r="BC148" s="18"/>
      <c r="BD148" s="119">
        <f t="shared" si="43"/>
        <v>0</v>
      </c>
      <c r="BE148" s="18"/>
      <c r="BF148" s="18"/>
      <c r="BG148" s="18"/>
      <c r="BH148" s="18"/>
      <c r="BI148" s="18"/>
      <c r="BJ148" s="18"/>
      <c r="BK148" s="18"/>
      <c r="BL148" s="18"/>
      <c r="BM148" s="18"/>
      <c r="BN148" s="18"/>
      <c r="BO148" s="18"/>
      <c r="BP148" s="18"/>
      <c r="BQ148" s="119">
        <f t="shared" si="44"/>
        <v>0</v>
      </c>
    </row>
    <row r="149" spans="1:69" x14ac:dyDescent="0.3">
      <c r="A149" s="1"/>
      <c r="B149" s="14"/>
      <c r="C149" s="133"/>
      <c r="D149" s="18"/>
      <c r="E149" s="18">
        <f t="shared" si="39"/>
        <v>0</v>
      </c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99">
        <f t="shared" si="40"/>
        <v>0</v>
      </c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99">
        <f t="shared" si="41"/>
        <v>0</v>
      </c>
      <c r="AE149" s="18"/>
      <c r="AF149" s="18"/>
      <c r="AG149" s="18"/>
      <c r="AH149" s="18"/>
      <c r="AI149" s="18"/>
      <c r="AJ149" s="18"/>
      <c r="AK149" s="18"/>
      <c r="AL149" s="18"/>
      <c r="AM149" s="18"/>
      <c r="AN149" s="18"/>
      <c r="AO149" s="18"/>
      <c r="AP149" s="18"/>
      <c r="AQ149" s="119">
        <f t="shared" si="42"/>
        <v>0</v>
      </c>
      <c r="AR149" s="18"/>
      <c r="AS149" s="18"/>
      <c r="AT149" s="18"/>
      <c r="AU149" s="18"/>
      <c r="AV149" s="18"/>
      <c r="AW149" s="18"/>
      <c r="AX149" s="18"/>
      <c r="AY149" s="18"/>
      <c r="AZ149" s="18"/>
      <c r="BA149" s="18"/>
      <c r="BB149" s="18"/>
      <c r="BC149" s="18"/>
      <c r="BD149" s="119">
        <f t="shared" si="43"/>
        <v>0</v>
      </c>
      <c r="BE149" s="18"/>
      <c r="BF149" s="18"/>
      <c r="BG149" s="18"/>
      <c r="BH149" s="18"/>
      <c r="BI149" s="18"/>
      <c r="BJ149" s="18"/>
      <c r="BK149" s="18"/>
      <c r="BL149" s="18"/>
      <c r="BM149" s="18"/>
      <c r="BN149" s="18"/>
      <c r="BO149" s="18"/>
      <c r="BP149" s="18"/>
      <c r="BQ149" s="119">
        <f t="shared" si="44"/>
        <v>0</v>
      </c>
    </row>
    <row r="150" spans="1:69" x14ac:dyDescent="0.3">
      <c r="A150" s="1"/>
      <c r="B150" s="14"/>
      <c r="C150" s="133"/>
      <c r="D150" s="18"/>
      <c r="E150" s="18">
        <f t="shared" si="39"/>
        <v>0</v>
      </c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99">
        <f t="shared" si="40"/>
        <v>0</v>
      </c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99">
        <f t="shared" si="41"/>
        <v>0</v>
      </c>
      <c r="AE150" s="18"/>
      <c r="AF150" s="18"/>
      <c r="AG150" s="18"/>
      <c r="AH150" s="18"/>
      <c r="AI150" s="18"/>
      <c r="AJ150" s="18"/>
      <c r="AK150" s="18"/>
      <c r="AL150" s="18"/>
      <c r="AM150" s="18"/>
      <c r="AN150" s="18"/>
      <c r="AO150" s="18"/>
      <c r="AP150" s="18"/>
      <c r="AQ150" s="119">
        <f t="shared" si="42"/>
        <v>0</v>
      </c>
      <c r="AR150" s="18"/>
      <c r="AS150" s="18"/>
      <c r="AT150" s="18"/>
      <c r="AU150" s="18"/>
      <c r="AV150" s="18"/>
      <c r="AW150" s="18"/>
      <c r="AX150" s="18"/>
      <c r="AY150" s="18"/>
      <c r="AZ150" s="18"/>
      <c r="BA150" s="18"/>
      <c r="BB150" s="18"/>
      <c r="BC150" s="18"/>
      <c r="BD150" s="119">
        <f t="shared" si="43"/>
        <v>0</v>
      </c>
      <c r="BE150" s="18"/>
      <c r="BF150" s="18"/>
      <c r="BG150" s="18"/>
      <c r="BH150" s="18"/>
      <c r="BI150" s="18"/>
      <c r="BJ150" s="18"/>
      <c r="BK150" s="18"/>
      <c r="BL150" s="18"/>
      <c r="BM150" s="18"/>
      <c r="BN150" s="18"/>
      <c r="BO150" s="18"/>
      <c r="BP150" s="18"/>
      <c r="BQ150" s="119">
        <f t="shared" si="44"/>
        <v>0</v>
      </c>
    </row>
    <row r="151" spans="1:69" x14ac:dyDescent="0.3">
      <c r="A151" s="1"/>
      <c r="B151" s="14"/>
      <c r="C151" s="133"/>
      <c r="D151" s="18"/>
      <c r="E151" s="18">
        <f t="shared" si="39"/>
        <v>0</v>
      </c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99">
        <f t="shared" si="40"/>
        <v>0</v>
      </c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99">
        <f t="shared" si="41"/>
        <v>0</v>
      </c>
      <c r="AE151" s="18"/>
      <c r="AF151" s="18"/>
      <c r="AG151" s="18"/>
      <c r="AH151" s="18"/>
      <c r="AI151" s="18"/>
      <c r="AJ151" s="18"/>
      <c r="AK151" s="18"/>
      <c r="AL151" s="18"/>
      <c r="AM151" s="18"/>
      <c r="AN151" s="18"/>
      <c r="AO151" s="18"/>
      <c r="AP151" s="18"/>
      <c r="AQ151" s="119">
        <f t="shared" si="42"/>
        <v>0</v>
      </c>
      <c r="AR151" s="18"/>
      <c r="AS151" s="18"/>
      <c r="AT151" s="18"/>
      <c r="AU151" s="18"/>
      <c r="AV151" s="18"/>
      <c r="AW151" s="18"/>
      <c r="AX151" s="18"/>
      <c r="AY151" s="18"/>
      <c r="AZ151" s="18"/>
      <c r="BA151" s="18"/>
      <c r="BB151" s="18"/>
      <c r="BC151" s="18"/>
      <c r="BD151" s="119">
        <f t="shared" si="43"/>
        <v>0</v>
      </c>
      <c r="BE151" s="18"/>
      <c r="BF151" s="18"/>
      <c r="BG151" s="18"/>
      <c r="BH151" s="18"/>
      <c r="BI151" s="18"/>
      <c r="BJ151" s="18"/>
      <c r="BK151" s="18"/>
      <c r="BL151" s="18"/>
      <c r="BM151" s="18"/>
      <c r="BN151" s="18"/>
      <c r="BO151" s="18"/>
      <c r="BP151" s="18"/>
      <c r="BQ151" s="119">
        <f t="shared" si="44"/>
        <v>0</v>
      </c>
    </row>
    <row r="152" spans="1:69" x14ac:dyDescent="0.3">
      <c r="A152" s="1"/>
      <c r="B152" s="14"/>
      <c r="C152" s="133"/>
      <c r="D152" s="18"/>
      <c r="E152" s="18">
        <f t="shared" si="39"/>
        <v>0</v>
      </c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99">
        <f t="shared" si="40"/>
        <v>0</v>
      </c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99">
        <f t="shared" si="41"/>
        <v>0</v>
      </c>
      <c r="AE152" s="18"/>
      <c r="AF152" s="18"/>
      <c r="AG152" s="18"/>
      <c r="AH152" s="18"/>
      <c r="AI152" s="18"/>
      <c r="AJ152" s="18"/>
      <c r="AK152" s="18"/>
      <c r="AL152" s="18"/>
      <c r="AM152" s="18"/>
      <c r="AN152" s="18"/>
      <c r="AO152" s="18"/>
      <c r="AP152" s="18"/>
      <c r="AQ152" s="119">
        <f t="shared" si="42"/>
        <v>0</v>
      </c>
      <c r="AR152" s="18"/>
      <c r="AS152" s="18"/>
      <c r="AT152" s="18"/>
      <c r="AU152" s="18"/>
      <c r="AV152" s="18"/>
      <c r="AW152" s="18"/>
      <c r="AX152" s="18"/>
      <c r="AY152" s="18"/>
      <c r="AZ152" s="18"/>
      <c r="BA152" s="18"/>
      <c r="BB152" s="18"/>
      <c r="BC152" s="18"/>
      <c r="BD152" s="119">
        <f t="shared" si="43"/>
        <v>0</v>
      </c>
      <c r="BE152" s="18"/>
      <c r="BF152" s="18"/>
      <c r="BG152" s="18"/>
      <c r="BH152" s="18"/>
      <c r="BI152" s="18"/>
      <c r="BJ152" s="18"/>
      <c r="BK152" s="18"/>
      <c r="BL152" s="18"/>
      <c r="BM152" s="18"/>
      <c r="BN152" s="18"/>
      <c r="BO152" s="18"/>
      <c r="BP152" s="18"/>
      <c r="BQ152" s="119">
        <f t="shared" si="44"/>
        <v>0</v>
      </c>
    </row>
    <row r="153" spans="1:69" x14ac:dyDescent="0.3">
      <c r="A153" s="1"/>
      <c r="B153" s="14"/>
      <c r="C153" s="133"/>
      <c r="D153" s="18"/>
      <c r="E153" s="18">
        <f t="shared" si="39"/>
        <v>0</v>
      </c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99">
        <f t="shared" si="40"/>
        <v>0</v>
      </c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99">
        <f t="shared" si="41"/>
        <v>0</v>
      </c>
      <c r="AE153" s="18"/>
      <c r="AF153" s="18"/>
      <c r="AG153" s="18"/>
      <c r="AH153" s="18"/>
      <c r="AI153" s="18"/>
      <c r="AJ153" s="18"/>
      <c r="AK153" s="18"/>
      <c r="AL153" s="18"/>
      <c r="AM153" s="18"/>
      <c r="AN153" s="18"/>
      <c r="AO153" s="18"/>
      <c r="AP153" s="18"/>
      <c r="AQ153" s="119">
        <f t="shared" si="42"/>
        <v>0</v>
      </c>
      <c r="AR153" s="18"/>
      <c r="AS153" s="18"/>
      <c r="AT153" s="18"/>
      <c r="AU153" s="18"/>
      <c r="AV153" s="18"/>
      <c r="AW153" s="18"/>
      <c r="AX153" s="18"/>
      <c r="AY153" s="18"/>
      <c r="AZ153" s="18"/>
      <c r="BA153" s="18"/>
      <c r="BB153" s="18"/>
      <c r="BC153" s="18"/>
      <c r="BD153" s="119">
        <f t="shared" si="43"/>
        <v>0</v>
      </c>
      <c r="BE153" s="18"/>
      <c r="BF153" s="18"/>
      <c r="BG153" s="18"/>
      <c r="BH153" s="18"/>
      <c r="BI153" s="18"/>
      <c r="BJ153" s="18"/>
      <c r="BK153" s="18"/>
      <c r="BL153" s="18"/>
      <c r="BM153" s="18"/>
      <c r="BN153" s="18"/>
      <c r="BO153" s="18"/>
      <c r="BP153" s="18"/>
      <c r="BQ153" s="119">
        <f t="shared" si="44"/>
        <v>0</v>
      </c>
    </row>
    <row r="154" spans="1:69" x14ac:dyDescent="0.3">
      <c r="A154" s="1"/>
      <c r="B154" s="14"/>
      <c r="C154" s="133"/>
      <c r="D154" s="18"/>
      <c r="E154" s="18">
        <f t="shared" si="39"/>
        <v>0</v>
      </c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99">
        <f t="shared" si="40"/>
        <v>0</v>
      </c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99">
        <f t="shared" si="41"/>
        <v>0</v>
      </c>
      <c r="AE154" s="18"/>
      <c r="AF154" s="18"/>
      <c r="AG154" s="18"/>
      <c r="AH154" s="18"/>
      <c r="AI154" s="18"/>
      <c r="AJ154" s="18"/>
      <c r="AK154" s="18"/>
      <c r="AL154" s="18"/>
      <c r="AM154" s="18"/>
      <c r="AN154" s="18"/>
      <c r="AO154" s="18"/>
      <c r="AP154" s="18"/>
      <c r="AQ154" s="119">
        <f t="shared" si="42"/>
        <v>0</v>
      </c>
      <c r="AR154" s="18"/>
      <c r="AS154" s="18"/>
      <c r="AT154" s="18"/>
      <c r="AU154" s="18"/>
      <c r="AV154" s="18"/>
      <c r="AW154" s="18"/>
      <c r="AX154" s="18"/>
      <c r="AY154" s="18"/>
      <c r="AZ154" s="18"/>
      <c r="BA154" s="18"/>
      <c r="BB154" s="18"/>
      <c r="BC154" s="18"/>
      <c r="BD154" s="119">
        <f t="shared" si="43"/>
        <v>0</v>
      </c>
      <c r="BE154" s="18"/>
      <c r="BF154" s="18"/>
      <c r="BG154" s="18"/>
      <c r="BH154" s="18"/>
      <c r="BI154" s="18"/>
      <c r="BJ154" s="18"/>
      <c r="BK154" s="18"/>
      <c r="BL154" s="18"/>
      <c r="BM154" s="18"/>
      <c r="BN154" s="18"/>
      <c r="BO154" s="18"/>
      <c r="BP154" s="18"/>
      <c r="BQ154" s="119">
        <f t="shared" si="44"/>
        <v>0</v>
      </c>
    </row>
    <row r="155" spans="1:69" x14ac:dyDescent="0.3">
      <c r="A155" s="1"/>
      <c r="B155" s="14"/>
      <c r="C155" s="133"/>
      <c r="D155" s="18"/>
      <c r="E155" s="18">
        <f t="shared" si="39"/>
        <v>0</v>
      </c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99">
        <f t="shared" si="40"/>
        <v>0</v>
      </c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99">
        <f t="shared" si="41"/>
        <v>0</v>
      </c>
      <c r="AE155" s="18"/>
      <c r="AF155" s="18"/>
      <c r="AG155" s="18"/>
      <c r="AH155" s="18"/>
      <c r="AI155" s="18"/>
      <c r="AJ155" s="18"/>
      <c r="AK155" s="18"/>
      <c r="AL155" s="18"/>
      <c r="AM155" s="18"/>
      <c r="AN155" s="18"/>
      <c r="AO155" s="18"/>
      <c r="AP155" s="18"/>
      <c r="AQ155" s="119">
        <f t="shared" si="42"/>
        <v>0</v>
      </c>
      <c r="AR155" s="18"/>
      <c r="AS155" s="18"/>
      <c r="AT155" s="18"/>
      <c r="AU155" s="18"/>
      <c r="AV155" s="18"/>
      <c r="AW155" s="18"/>
      <c r="AX155" s="18"/>
      <c r="AY155" s="18"/>
      <c r="AZ155" s="18"/>
      <c r="BA155" s="18"/>
      <c r="BB155" s="18"/>
      <c r="BC155" s="18"/>
      <c r="BD155" s="119">
        <f t="shared" si="43"/>
        <v>0</v>
      </c>
      <c r="BE155" s="18"/>
      <c r="BF155" s="18"/>
      <c r="BG155" s="18"/>
      <c r="BH155" s="18"/>
      <c r="BI155" s="18"/>
      <c r="BJ155" s="18"/>
      <c r="BK155" s="18"/>
      <c r="BL155" s="18"/>
      <c r="BM155" s="18"/>
      <c r="BN155" s="18"/>
      <c r="BO155" s="18"/>
      <c r="BP155" s="18"/>
      <c r="BQ155" s="119">
        <f t="shared" si="44"/>
        <v>0</v>
      </c>
    </row>
    <row r="156" spans="1:69" x14ac:dyDescent="0.3">
      <c r="A156" s="1"/>
      <c r="B156" s="14"/>
      <c r="C156" s="133"/>
      <c r="D156" s="18"/>
      <c r="E156" s="18">
        <f t="shared" si="39"/>
        <v>0</v>
      </c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99">
        <f t="shared" si="40"/>
        <v>0</v>
      </c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99">
        <f t="shared" si="41"/>
        <v>0</v>
      </c>
      <c r="AE156" s="18"/>
      <c r="AF156" s="18"/>
      <c r="AG156" s="18"/>
      <c r="AH156" s="18"/>
      <c r="AI156" s="18"/>
      <c r="AJ156" s="18"/>
      <c r="AK156" s="18"/>
      <c r="AL156" s="18"/>
      <c r="AM156" s="18"/>
      <c r="AN156" s="18"/>
      <c r="AO156" s="18"/>
      <c r="AP156" s="18"/>
      <c r="AQ156" s="119">
        <f t="shared" si="42"/>
        <v>0</v>
      </c>
      <c r="AR156" s="18"/>
      <c r="AS156" s="18"/>
      <c r="AT156" s="18"/>
      <c r="AU156" s="18"/>
      <c r="AV156" s="18"/>
      <c r="AW156" s="18"/>
      <c r="AX156" s="18"/>
      <c r="AY156" s="18"/>
      <c r="AZ156" s="18"/>
      <c r="BA156" s="18"/>
      <c r="BB156" s="18"/>
      <c r="BC156" s="18"/>
      <c r="BD156" s="119">
        <f t="shared" si="43"/>
        <v>0</v>
      </c>
      <c r="BE156" s="18"/>
      <c r="BF156" s="18"/>
      <c r="BG156" s="18"/>
      <c r="BH156" s="18"/>
      <c r="BI156" s="18"/>
      <c r="BJ156" s="18"/>
      <c r="BK156" s="18"/>
      <c r="BL156" s="18"/>
      <c r="BM156" s="18"/>
      <c r="BN156" s="18"/>
      <c r="BO156" s="18"/>
      <c r="BP156" s="18"/>
      <c r="BQ156" s="119">
        <f t="shared" si="44"/>
        <v>0</v>
      </c>
    </row>
    <row r="157" spans="1:69" x14ac:dyDescent="0.3">
      <c r="A157" s="1"/>
      <c r="B157" s="14"/>
      <c r="C157" s="133"/>
      <c r="D157" s="18"/>
      <c r="E157" s="18">
        <f t="shared" si="39"/>
        <v>0</v>
      </c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99">
        <f t="shared" si="40"/>
        <v>0</v>
      </c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99">
        <f t="shared" si="41"/>
        <v>0</v>
      </c>
      <c r="AE157" s="18"/>
      <c r="AF157" s="18"/>
      <c r="AG157" s="18"/>
      <c r="AH157" s="18"/>
      <c r="AI157" s="18"/>
      <c r="AJ157" s="18"/>
      <c r="AK157" s="18"/>
      <c r="AL157" s="18"/>
      <c r="AM157" s="18"/>
      <c r="AN157" s="18"/>
      <c r="AO157" s="18"/>
      <c r="AP157" s="18"/>
      <c r="AQ157" s="119">
        <f t="shared" si="42"/>
        <v>0</v>
      </c>
      <c r="AR157" s="18"/>
      <c r="AS157" s="18"/>
      <c r="AT157" s="18"/>
      <c r="AU157" s="18"/>
      <c r="AV157" s="18"/>
      <c r="AW157" s="18"/>
      <c r="AX157" s="18"/>
      <c r="AY157" s="18"/>
      <c r="AZ157" s="18"/>
      <c r="BA157" s="18"/>
      <c r="BB157" s="18"/>
      <c r="BC157" s="18"/>
      <c r="BD157" s="119">
        <f t="shared" si="43"/>
        <v>0</v>
      </c>
      <c r="BE157" s="18"/>
      <c r="BF157" s="18"/>
      <c r="BG157" s="18"/>
      <c r="BH157" s="18"/>
      <c r="BI157" s="18"/>
      <c r="BJ157" s="18"/>
      <c r="BK157" s="18"/>
      <c r="BL157" s="18"/>
      <c r="BM157" s="18"/>
      <c r="BN157" s="18"/>
      <c r="BO157" s="18"/>
      <c r="BP157" s="18"/>
      <c r="BQ157" s="119">
        <f t="shared" si="44"/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:BN24"/>
  <sheetViews>
    <sheetView workbookViewId="0">
      <pane xSplit="7" ySplit="4" topLeftCell="H16" activePane="bottomRight" state="frozen"/>
      <selection pane="topRight" activeCell="H1" sqref="H1"/>
      <selection pane="bottomLeft" activeCell="A5" sqref="A5"/>
      <selection pane="bottomRight" activeCell="A13" sqref="A13"/>
    </sheetView>
  </sheetViews>
  <sheetFormatPr baseColWidth="10" defaultRowHeight="14.4" x14ac:dyDescent="0.3"/>
  <cols>
    <col min="1" max="1" width="18.5546875" customWidth="1"/>
    <col min="2" max="13" width="11.5546875" bestFit="1" customWidth="1"/>
    <col min="14" max="14" width="13.88671875" bestFit="1" customWidth="1"/>
    <col min="15" max="26" width="11.5546875" bestFit="1" customWidth="1"/>
    <col min="27" max="27" width="11.6640625" bestFit="1" customWidth="1"/>
    <col min="28" max="39" width="11.5546875" bestFit="1" customWidth="1"/>
    <col min="40" max="40" width="11.6640625" bestFit="1" customWidth="1"/>
    <col min="41" max="52" width="11.5546875" bestFit="1" customWidth="1"/>
    <col min="53" max="53" width="11.6640625" bestFit="1" customWidth="1"/>
    <col min="54" max="65" width="11.5546875" bestFit="1" customWidth="1"/>
    <col min="66" max="66" width="11.6640625" bestFit="1" customWidth="1"/>
  </cols>
  <sheetData>
    <row r="1" spans="1:66" x14ac:dyDescent="0.3">
      <c r="A1" s="1"/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101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6" t="s">
        <v>20</v>
      </c>
      <c r="W1" s="6" t="s">
        <v>21</v>
      </c>
      <c r="X1" s="6" t="s">
        <v>22</v>
      </c>
      <c r="Y1" s="6" t="s">
        <v>23</v>
      </c>
      <c r="Z1" s="6" t="s">
        <v>24</v>
      </c>
      <c r="AA1" s="7" t="s">
        <v>25</v>
      </c>
      <c r="AB1" s="6" t="s">
        <v>26</v>
      </c>
      <c r="AC1" s="6" t="s">
        <v>27</v>
      </c>
      <c r="AD1" s="6" t="s">
        <v>28</v>
      </c>
      <c r="AE1" s="6" t="s">
        <v>29</v>
      </c>
      <c r="AF1" s="6" t="s">
        <v>30</v>
      </c>
      <c r="AG1" s="6" t="s">
        <v>31</v>
      </c>
      <c r="AH1" s="6" t="s">
        <v>32</v>
      </c>
      <c r="AI1" s="6" t="s">
        <v>33</v>
      </c>
      <c r="AJ1" s="6" t="s">
        <v>34</v>
      </c>
      <c r="AK1" s="6" t="s">
        <v>35</v>
      </c>
      <c r="AL1" s="6" t="s">
        <v>36</v>
      </c>
      <c r="AM1" s="6" t="s">
        <v>37</v>
      </c>
      <c r="AN1" s="7" t="s">
        <v>38</v>
      </c>
      <c r="AO1" s="6" t="s">
        <v>39</v>
      </c>
      <c r="AP1" s="6" t="s">
        <v>40</v>
      </c>
      <c r="AQ1" s="6" t="s">
        <v>41</v>
      </c>
      <c r="AR1" s="6" t="s">
        <v>42</v>
      </c>
      <c r="AS1" s="6" t="s">
        <v>43</v>
      </c>
      <c r="AT1" s="6" t="s">
        <v>44</v>
      </c>
      <c r="AU1" s="6" t="s">
        <v>45</v>
      </c>
      <c r="AV1" s="6" t="s">
        <v>46</v>
      </c>
      <c r="AW1" s="6" t="s">
        <v>47</v>
      </c>
      <c r="AX1" s="6" t="s">
        <v>48</v>
      </c>
      <c r="AY1" s="6" t="s">
        <v>49</v>
      </c>
      <c r="AZ1" s="6" t="s">
        <v>50</v>
      </c>
      <c r="BA1" s="7" t="s">
        <v>51</v>
      </c>
      <c r="BB1" s="6" t="s">
        <v>52</v>
      </c>
      <c r="BC1" s="6" t="s">
        <v>53</v>
      </c>
      <c r="BD1" s="6" t="s">
        <v>54</v>
      </c>
      <c r="BE1" s="6" t="s">
        <v>55</v>
      </c>
      <c r="BF1" s="6" t="s">
        <v>56</v>
      </c>
      <c r="BG1" s="6" t="s">
        <v>57</v>
      </c>
      <c r="BH1" s="6" t="s">
        <v>58</v>
      </c>
      <c r="BI1" s="6" t="s">
        <v>59</v>
      </c>
      <c r="BJ1" s="6" t="s">
        <v>60</v>
      </c>
      <c r="BK1" s="6" t="s">
        <v>61</v>
      </c>
      <c r="BL1" s="6" t="s">
        <v>62</v>
      </c>
      <c r="BM1" s="6" t="s">
        <v>63</v>
      </c>
      <c r="BN1" s="7" t="s">
        <v>64</v>
      </c>
    </row>
    <row r="2" spans="1:66" ht="28.8" x14ac:dyDescent="0.3">
      <c r="A2" s="14" t="s">
        <v>143</v>
      </c>
      <c r="B2" s="28">
        <v>250000</v>
      </c>
      <c r="C2" s="28">
        <v>250000</v>
      </c>
      <c r="D2" s="28">
        <v>250000</v>
      </c>
      <c r="E2" s="28">
        <v>250000</v>
      </c>
      <c r="F2" s="28">
        <v>250000</v>
      </c>
      <c r="G2" s="28">
        <v>250000</v>
      </c>
      <c r="H2" s="28">
        <v>250000</v>
      </c>
      <c r="I2" s="28">
        <v>250000</v>
      </c>
      <c r="J2" s="28">
        <v>250000</v>
      </c>
      <c r="K2" s="28">
        <v>250000</v>
      </c>
      <c r="L2" s="28">
        <v>250000</v>
      </c>
      <c r="M2" s="28">
        <v>250000</v>
      </c>
      <c r="N2" s="100">
        <f>SUM(B2:M2)</f>
        <v>3000000</v>
      </c>
      <c r="O2" s="28">
        <v>250000</v>
      </c>
      <c r="P2" s="28">
        <v>250000</v>
      </c>
      <c r="Q2" s="28">
        <v>250000</v>
      </c>
      <c r="R2" s="28">
        <v>250000</v>
      </c>
      <c r="S2" s="28">
        <v>250000</v>
      </c>
      <c r="T2" s="28">
        <v>250000</v>
      </c>
      <c r="U2" s="28">
        <v>250000</v>
      </c>
      <c r="V2" s="28">
        <v>250000</v>
      </c>
      <c r="W2" s="28">
        <v>250000</v>
      </c>
      <c r="X2" s="28">
        <v>250000</v>
      </c>
      <c r="Y2" s="28">
        <v>250000</v>
      </c>
      <c r="Z2" s="28">
        <v>250000</v>
      </c>
      <c r="AA2" s="100">
        <f t="shared" ref="AA2" si="0">SUM(O2:Z2)</f>
        <v>3000000</v>
      </c>
      <c r="AB2" s="28">
        <v>250000</v>
      </c>
      <c r="AC2" s="28">
        <v>250000</v>
      </c>
      <c r="AD2" s="28">
        <v>250000</v>
      </c>
      <c r="AE2" s="28">
        <v>250000</v>
      </c>
      <c r="AF2" s="28">
        <v>250000</v>
      </c>
      <c r="AG2" s="28">
        <v>250000</v>
      </c>
      <c r="AH2" s="28">
        <v>250000</v>
      </c>
      <c r="AI2" s="28">
        <v>250000</v>
      </c>
      <c r="AJ2" s="28">
        <v>250000</v>
      </c>
      <c r="AK2" s="28">
        <v>250000</v>
      </c>
      <c r="AL2" s="28">
        <v>250000</v>
      </c>
      <c r="AM2" s="28">
        <v>250000</v>
      </c>
      <c r="AN2" s="100">
        <f t="shared" ref="AN2" si="1">SUM(AB2:AM2)</f>
        <v>3000000</v>
      </c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100">
        <f>SUM(AO2:AZ2)</f>
        <v>0</v>
      </c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100">
        <f>SUM(BB2:BM2)</f>
        <v>0</v>
      </c>
    </row>
    <row r="3" spans="1:66" ht="63.75" customHeight="1" x14ac:dyDescent="0.3">
      <c r="A3" s="14" t="s">
        <v>144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100">
        <f t="shared" ref="N3:N23" si="2">SUM(B3:M3)</f>
        <v>0</v>
      </c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100">
        <f t="shared" ref="AA3:AA23" si="3">SUM(O3:Z3)</f>
        <v>0</v>
      </c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100">
        <f t="shared" ref="AN3:AN23" si="4">SUM(AB3:AM3)</f>
        <v>0</v>
      </c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100">
        <f t="shared" ref="BA3:BA23" si="5">SUM(AO3:AZ3)</f>
        <v>0</v>
      </c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100">
        <f t="shared" ref="BN3:BN23" si="6">SUM(BB3:BM3)</f>
        <v>0</v>
      </c>
    </row>
    <row r="4" spans="1:66" ht="49.5" customHeight="1" x14ac:dyDescent="0.3">
      <c r="A4" s="14" t="s">
        <v>145</v>
      </c>
      <c r="B4" s="28"/>
      <c r="C4" s="28"/>
      <c r="D4" s="28">
        <v>150000</v>
      </c>
      <c r="E4" s="28"/>
      <c r="F4" s="28"/>
      <c r="G4" s="28">
        <v>150000</v>
      </c>
      <c r="H4" s="28"/>
      <c r="I4" s="28"/>
      <c r="J4" s="28">
        <v>150000</v>
      </c>
      <c r="K4" s="28"/>
      <c r="L4" s="28"/>
      <c r="M4" s="28">
        <v>150000</v>
      </c>
      <c r="N4" s="100">
        <f t="shared" si="2"/>
        <v>600000</v>
      </c>
      <c r="O4" s="28"/>
      <c r="P4" s="28"/>
      <c r="Q4" s="28">
        <v>150000</v>
      </c>
      <c r="R4" s="28"/>
      <c r="S4" s="28"/>
      <c r="T4" s="28">
        <v>150000</v>
      </c>
      <c r="U4" s="28"/>
      <c r="V4" s="28"/>
      <c r="W4" s="28">
        <v>150000</v>
      </c>
      <c r="X4" s="28"/>
      <c r="Y4" s="28"/>
      <c r="Z4" s="28">
        <v>150000</v>
      </c>
      <c r="AA4" s="100">
        <f t="shared" si="3"/>
        <v>600000</v>
      </c>
      <c r="AB4" s="28"/>
      <c r="AC4" s="28"/>
      <c r="AD4" s="28">
        <v>150000</v>
      </c>
      <c r="AE4" s="28"/>
      <c r="AF4" s="28"/>
      <c r="AG4" s="28">
        <v>150000</v>
      </c>
      <c r="AH4" s="28"/>
      <c r="AI4" s="28"/>
      <c r="AJ4" s="28">
        <v>150000</v>
      </c>
      <c r="AK4" s="28"/>
      <c r="AL4" s="28"/>
      <c r="AM4" s="28">
        <v>150000</v>
      </c>
      <c r="AN4" s="100">
        <f t="shared" si="4"/>
        <v>600000</v>
      </c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100">
        <f t="shared" si="5"/>
        <v>0</v>
      </c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100">
        <f t="shared" si="6"/>
        <v>0</v>
      </c>
    </row>
    <row r="5" spans="1:66" ht="33" customHeight="1" x14ac:dyDescent="0.3">
      <c r="A5" s="14" t="s">
        <v>146</v>
      </c>
      <c r="B5" s="28">
        <v>350000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100">
        <f t="shared" si="2"/>
        <v>350000</v>
      </c>
      <c r="O5" s="28">
        <v>350000</v>
      </c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100">
        <f t="shared" si="3"/>
        <v>350000</v>
      </c>
      <c r="AB5" s="28">
        <v>350000</v>
      </c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100">
        <f t="shared" si="4"/>
        <v>350000</v>
      </c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100">
        <f t="shared" si="5"/>
        <v>0</v>
      </c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100">
        <f t="shared" si="6"/>
        <v>0</v>
      </c>
    </row>
    <row r="6" spans="1:66" ht="51" customHeight="1" x14ac:dyDescent="0.3">
      <c r="A6" s="14" t="s">
        <v>147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100">
        <f t="shared" si="2"/>
        <v>0</v>
      </c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100">
        <f t="shared" si="3"/>
        <v>0</v>
      </c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100">
        <f t="shared" si="4"/>
        <v>0</v>
      </c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100">
        <f t="shared" si="5"/>
        <v>0</v>
      </c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100">
        <f t="shared" si="6"/>
        <v>0</v>
      </c>
    </row>
    <row r="7" spans="1:66" x14ac:dyDescent="0.3">
      <c r="A7" s="14" t="s">
        <v>148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100">
        <f t="shared" si="2"/>
        <v>0</v>
      </c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100">
        <f t="shared" si="3"/>
        <v>0</v>
      </c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100">
        <f t="shared" si="4"/>
        <v>0</v>
      </c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100">
        <f t="shared" si="5"/>
        <v>0</v>
      </c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100">
        <f t="shared" si="6"/>
        <v>0</v>
      </c>
    </row>
    <row r="8" spans="1:66" ht="47.25" customHeight="1" x14ac:dyDescent="0.3">
      <c r="A8" s="14" t="s">
        <v>149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100">
        <f t="shared" si="2"/>
        <v>0</v>
      </c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100">
        <f t="shared" si="3"/>
        <v>0</v>
      </c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100">
        <f t="shared" si="4"/>
        <v>0</v>
      </c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100">
        <f t="shared" si="5"/>
        <v>0</v>
      </c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100">
        <f t="shared" si="6"/>
        <v>0</v>
      </c>
    </row>
    <row r="9" spans="1:66" ht="47.25" customHeight="1" x14ac:dyDescent="0.3">
      <c r="A9" s="14" t="s">
        <v>150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100">
        <f>'Impots et taxes'!E17</f>
        <v>36981.25</v>
      </c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100">
        <f>'Impots et taxes'!H17</f>
        <v>28859.852500000001</v>
      </c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100">
        <f>'Impots et taxes'!K17</f>
        <v>54832.974999999999</v>
      </c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100">
        <f>'Impots et taxes'!N17</f>
        <v>362753.0405</v>
      </c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100">
        <f>'Impots et taxes'!Q17</f>
        <v>1260924.4678</v>
      </c>
    </row>
    <row r="10" spans="1:66" ht="45.75" customHeight="1" x14ac:dyDescent="0.3">
      <c r="A10" s="14" t="s">
        <v>151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100">
        <f>N15*'Impots et taxes'!$B$42</f>
        <v>450000</v>
      </c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100">
        <f>AA15*'Impots et taxes'!$B$42</f>
        <v>450000</v>
      </c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100">
        <f>AN15*'Impots et taxes'!$B$42</f>
        <v>450000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100">
        <f>BA15*'Impots et taxes'!$B$42</f>
        <v>0</v>
      </c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100">
        <f>BN15*'Impots et taxes'!$B$42</f>
        <v>0</v>
      </c>
    </row>
    <row r="11" spans="1:66" ht="34.5" customHeight="1" x14ac:dyDescent="0.3">
      <c r="A11" s="14" t="s">
        <v>152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100">
        <f t="shared" si="2"/>
        <v>0</v>
      </c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100">
        <f t="shared" si="3"/>
        <v>0</v>
      </c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100">
        <f t="shared" si="4"/>
        <v>0</v>
      </c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100">
        <f t="shared" si="5"/>
        <v>0</v>
      </c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100">
        <f t="shared" si="6"/>
        <v>0</v>
      </c>
    </row>
    <row r="12" spans="1:66" ht="45.75" customHeight="1" x14ac:dyDescent="0.3">
      <c r="A12" s="14" t="s">
        <v>153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100">
        <f t="shared" si="2"/>
        <v>0</v>
      </c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100">
        <f t="shared" si="3"/>
        <v>0</v>
      </c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100">
        <f t="shared" si="4"/>
        <v>0</v>
      </c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100">
        <f t="shared" si="5"/>
        <v>0</v>
      </c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100">
        <f t="shared" si="6"/>
        <v>0</v>
      </c>
    </row>
    <row r="13" spans="1:66" ht="36" customHeight="1" x14ac:dyDescent="0.3">
      <c r="A13" s="14" t="s">
        <v>154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100">
        <f>'Impots et taxes'!$B$37</f>
        <v>120000</v>
      </c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100">
        <f>'Impots et taxes'!$B$37</f>
        <v>120000</v>
      </c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100">
        <f>'Impots et taxes'!$B$37</f>
        <v>120000</v>
      </c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100">
        <f>'Impots et taxes'!$B$37</f>
        <v>120000</v>
      </c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100">
        <f>'Impots et taxes'!$B$37</f>
        <v>120000</v>
      </c>
    </row>
    <row r="14" spans="1:66" ht="30.75" customHeight="1" x14ac:dyDescent="0.3">
      <c r="A14" s="14" t="s">
        <v>155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100">
        <f>SUM('Impots et taxes'!D29:D32)</f>
        <v>0</v>
      </c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100">
        <f>SUM('Impots et taxes'!F29:F32)</f>
        <v>0</v>
      </c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100">
        <f>SUM('Impots et taxes'!H29:H32)</f>
        <v>0</v>
      </c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100">
        <f>SUM('Impots et taxes'!J29:J32)</f>
        <v>0</v>
      </c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100">
        <f>SUM('Impots et taxes'!L29:L32)</f>
        <v>0</v>
      </c>
    </row>
    <row r="15" spans="1:66" ht="48.75" customHeight="1" x14ac:dyDescent="0.3">
      <c r="A15" s="14" t="s">
        <v>156</v>
      </c>
      <c r="B15" s="28">
        <v>500000</v>
      </c>
      <c r="C15" s="28">
        <v>500000</v>
      </c>
      <c r="D15" s="28">
        <v>500000</v>
      </c>
      <c r="E15" s="28">
        <v>500000</v>
      </c>
      <c r="F15" s="28">
        <v>500000</v>
      </c>
      <c r="G15" s="28">
        <v>500000</v>
      </c>
      <c r="H15" s="28">
        <v>500000</v>
      </c>
      <c r="I15" s="28">
        <v>500000</v>
      </c>
      <c r="J15" s="28">
        <v>500000</v>
      </c>
      <c r="K15" s="28">
        <v>500000</v>
      </c>
      <c r="L15" s="28">
        <v>500000</v>
      </c>
      <c r="M15" s="28">
        <v>500000</v>
      </c>
      <c r="N15" s="100">
        <f t="shared" si="2"/>
        <v>6000000</v>
      </c>
      <c r="O15" s="28">
        <v>500000</v>
      </c>
      <c r="P15" s="28">
        <v>500000</v>
      </c>
      <c r="Q15" s="28">
        <v>500000</v>
      </c>
      <c r="R15" s="28">
        <v>500000</v>
      </c>
      <c r="S15" s="28">
        <v>500000</v>
      </c>
      <c r="T15" s="28">
        <v>500000</v>
      </c>
      <c r="U15" s="28">
        <v>500000</v>
      </c>
      <c r="V15" s="28">
        <v>500000</v>
      </c>
      <c r="W15" s="28">
        <v>500000</v>
      </c>
      <c r="X15" s="28">
        <v>500000</v>
      </c>
      <c r="Y15" s="28">
        <v>500000</v>
      </c>
      <c r="Z15" s="28">
        <v>500000</v>
      </c>
      <c r="AA15" s="100">
        <f t="shared" ref="AA15" si="7">SUM(O15:Z15)</f>
        <v>6000000</v>
      </c>
      <c r="AB15" s="28">
        <v>500000</v>
      </c>
      <c r="AC15" s="28">
        <v>500000</v>
      </c>
      <c r="AD15" s="28">
        <v>500000</v>
      </c>
      <c r="AE15" s="28">
        <v>500000</v>
      </c>
      <c r="AF15" s="28">
        <v>500000</v>
      </c>
      <c r="AG15" s="28">
        <v>500000</v>
      </c>
      <c r="AH15" s="28">
        <v>500000</v>
      </c>
      <c r="AI15" s="28">
        <v>500000</v>
      </c>
      <c r="AJ15" s="28">
        <v>500000</v>
      </c>
      <c r="AK15" s="28">
        <v>500000</v>
      </c>
      <c r="AL15" s="28">
        <v>500000</v>
      </c>
      <c r="AM15" s="28">
        <v>500000</v>
      </c>
      <c r="AN15" s="100">
        <f t="shared" si="4"/>
        <v>6000000</v>
      </c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100">
        <f t="shared" si="5"/>
        <v>0</v>
      </c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100">
        <f t="shared" si="6"/>
        <v>0</v>
      </c>
    </row>
    <row r="16" spans="1:66" ht="45.75" customHeight="1" x14ac:dyDescent="0.3">
      <c r="A16" s="14" t="s">
        <v>157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100">
        <f t="shared" si="2"/>
        <v>0</v>
      </c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100">
        <f t="shared" si="3"/>
        <v>0</v>
      </c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100">
        <f t="shared" si="4"/>
        <v>0</v>
      </c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100">
        <f t="shared" si="5"/>
        <v>0</v>
      </c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100">
        <f t="shared" si="6"/>
        <v>0</v>
      </c>
    </row>
    <row r="17" spans="1:66" ht="19.5" customHeight="1" x14ac:dyDescent="0.3">
      <c r="A17" s="14" t="s">
        <v>158</v>
      </c>
      <c r="B17" s="29">
        <f>33.6%*B15</f>
        <v>168000</v>
      </c>
      <c r="C17" s="9">
        <f t="shared" ref="C17:BN17" si="8">33.6%*C15</f>
        <v>168000</v>
      </c>
      <c r="D17" s="9">
        <f t="shared" si="8"/>
        <v>168000</v>
      </c>
      <c r="E17" s="9">
        <f t="shared" si="8"/>
        <v>168000</v>
      </c>
      <c r="F17" s="9">
        <f t="shared" si="8"/>
        <v>168000</v>
      </c>
      <c r="G17" s="9">
        <f t="shared" si="8"/>
        <v>168000</v>
      </c>
      <c r="H17" s="9">
        <f t="shared" si="8"/>
        <v>168000</v>
      </c>
      <c r="I17" s="9">
        <f t="shared" si="8"/>
        <v>168000</v>
      </c>
      <c r="J17" s="9">
        <f t="shared" si="8"/>
        <v>168000</v>
      </c>
      <c r="K17" s="9">
        <f t="shared" si="8"/>
        <v>168000</v>
      </c>
      <c r="L17" s="9">
        <f t="shared" si="8"/>
        <v>168000</v>
      </c>
      <c r="M17" s="9">
        <f t="shared" si="8"/>
        <v>168000</v>
      </c>
      <c r="N17" s="12">
        <f t="shared" si="8"/>
        <v>2016000.0000000002</v>
      </c>
      <c r="O17" s="9">
        <f t="shared" si="8"/>
        <v>168000</v>
      </c>
      <c r="P17" s="9">
        <f t="shared" si="8"/>
        <v>168000</v>
      </c>
      <c r="Q17" s="9">
        <f t="shared" si="8"/>
        <v>168000</v>
      </c>
      <c r="R17" s="9">
        <f t="shared" si="8"/>
        <v>168000</v>
      </c>
      <c r="S17" s="9">
        <f t="shared" si="8"/>
        <v>168000</v>
      </c>
      <c r="T17" s="9">
        <f t="shared" si="8"/>
        <v>168000</v>
      </c>
      <c r="U17" s="9">
        <f t="shared" si="8"/>
        <v>168000</v>
      </c>
      <c r="V17" s="9">
        <f t="shared" si="8"/>
        <v>168000</v>
      </c>
      <c r="W17" s="9">
        <f t="shared" si="8"/>
        <v>168000</v>
      </c>
      <c r="X17" s="9">
        <f t="shared" si="8"/>
        <v>168000</v>
      </c>
      <c r="Y17" s="9">
        <f t="shared" si="8"/>
        <v>168000</v>
      </c>
      <c r="Z17" s="9">
        <f t="shared" si="8"/>
        <v>168000</v>
      </c>
      <c r="AA17" s="12">
        <f t="shared" si="8"/>
        <v>2016000.0000000002</v>
      </c>
      <c r="AB17" s="9">
        <f t="shared" si="8"/>
        <v>168000</v>
      </c>
      <c r="AC17" s="9">
        <f t="shared" si="8"/>
        <v>168000</v>
      </c>
      <c r="AD17" s="9">
        <f t="shared" si="8"/>
        <v>168000</v>
      </c>
      <c r="AE17" s="9">
        <f t="shared" si="8"/>
        <v>168000</v>
      </c>
      <c r="AF17" s="9">
        <f t="shared" si="8"/>
        <v>168000</v>
      </c>
      <c r="AG17" s="9">
        <f t="shared" si="8"/>
        <v>168000</v>
      </c>
      <c r="AH17" s="9">
        <f t="shared" si="8"/>
        <v>168000</v>
      </c>
      <c r="AI17" s="9">
        <f t="shared" si="8"/>
        <v>168000</v>
      </c>
      <c r="AJ17" s="9">
        <f t="shared" si="8"/>
        <v>168000</v>
      </c>
      <c r="AK17" s="9">
        <f t="shared" si="8"/>
        <v>168000</v>
      </c>
      <c r="AL17" s="9">
        <f t="shared" si="8"/>
        <v>168000</v>
      </c>
      <c r="AM17" s="9">
        <f t="shared" si="8"/>
        <v>168000</v>
      </c>
      <c r="AN17" s="12">
        <f t="shared" si="8"/>
        <v>2016000.0000000002</v>
      </c>
      <c r="AO17" s="9">
        <f t="shared" si="8"/>
        <v>0</v>
      </c>
      <c r="AP17" s="9">
        <f t="shared" si="8"/>
        <v>0</v>
      </c>
      <c r="AQ17" s="9">
        <f t="shared" si="8"/>
        <v>0</v>
      </c>
      <c r="AR17" s="9">
        <f t="shared" si="8"/>
        <v>0</v>
      </c>
      <c r="AS17" s="9">
        <f t="shared" si="8"/>
        <v>0</v>
      </c>
      <c r="AT17" s="9">
        <f t="shared" si="8"/>
        <v>0</v>
      </c>
      <c r="AU17" s="9">
        <f t="shared" si="8"/>
        <v>0</v>
      </c>
      <c r="AV17" s="9">
        <f t="shared" si="8"/>
        <v>0</v>
      </c>
      <c r="AW17" s="9">
        <f t="shared" si="8"/>
        <v>0</v>
      </c>
      <c r="AX17" s="9">
        <f t="shared" si="8"/>
        <v>0</v>
      </c>
      <c r="AY17" s="9">
        <f t="shared" si="8"/>
        <v>0</v>
      </c>
      <c r="AZ17" s="9">
        <f t="shared" si="8"/>
        <v>0</v>
      </c>
      <c r="BA17" s="12">
        <f t="shared" si="8"/>
        <v>0</v>
      </c>
      <c r="BB17" s="9">
        <f t="shared" si="8"/>
        <v>0</v>
      </c>
      <c r="BC17" s="9">
        <f t="shared" si="8"/>
        <v>0</v>
      </c>
      <c r="BD17" s="9">
        <f t="shared" si="8"/>
        <v>0</v>
      </c>
      <c r="BE17" s="9">
        <f t="shared" si="8"/>
        <v>0</v>
      </c>
      <c r="BF17" s="9">
        <f t="shared" si="8"/>
        <v>0</v>
      </c>
      <c r="BG17" s="9">
        <f t="shared" si="8"/>
        <v>0</v>
      </c>
      <c r="BH17" s="9">
        <f t="shared" si="8"/>
        <v>0</v>
      </c>
      <c r="BI17" s="9">
        <f t="shared" si="8"/>
        <v>0</v>
      </c>
      <c r="BJ17" s="9">
        <f t="shared" si="8"/>
        <v>0</v>
      </c>
      <c r="BK17" s="9">
        <f t="shared" si="8"/>
        <v>0</v>
      </c>
      <c r="BL17" s="9">
        <f t="shared" si="8"/>
        <v>0</v>
      </c>
      <c r="BM17" s="9">
        <f t="shared" si="8"/>
        <v>0</v>
      </c>
      <c r="BN17" s="12">
        <f t="shared" si="8"/>
        <v>0</v>
      </c>
    </row>
    <row r="18" spans="1:66" x14ac:dyDescent="0.3">
      <c r="A18" s="14" t="s">
        <v>159</v>
      </c>
      <c r="B18" s="29">
        <f>$N$18/12</f>
        <v>0</v>
      </c>
      <c r="C18" s="29">
        <f t="shared" ref="C18:M18" si="9">$N$18/12</f>
        <v>0</v>
      </c>
      <c r="D18" s="29">
        <f t="shared" si="9"/>
        <v>0</v>
      </c>
      <c r="E18" s="29">
        <f t="shared" si="9"/>
        <v>0</v>
      </c>
      <c r="F18" s="29">
        <f t="shared" si="9"/>
        <v>0</v>
      </c>
      <c r="G18" s="29">
        <f>$N$18/12</f>
        <v>0</v>
      </c>
      <c r="H18" s="29">
        <f t="shared" si="9"/>
        <v>0</v>
      </c>
      <c r="I18" s="29">
        <f t="shared" si="9"/>
        <v>0</v>
      </c>
      <c r="J18" s="29">
        <f t="shared" si="9"/>
        <v>0</v>
      </c>
      <c r="K18" s="29">
        <f t="shared" si="9"/>
        <v>0</v>
      </c>
      <c r="L18" s="29">
        <f t="shared" si="9"/>
        <v>0</v>
      </c>
      <c r="M18" s="29">
        <f t="shared" si="9"/>
        <v>0</v>
      </c>
      <c r="N18" s="100">
        <f>'Calculs financiers'!D16+'Calculs financiers'!D34</f>
        <v>0</v>
      </c>
      <c r="O18" s="29">
        <f>$AA$18/12</f>
        <v>0</v>
      </c>
      <c r="P18" s="29">
        <f t="shared" ref="P18:Z18" si="10">$AA$18/12</f>
        <v>0</v>
      </c>
      <c r="Q18" s="29">
        <f t="shared" si="10"/>
        <v>0</v>
      </c>
      <c r="R18" s="29">
        <f t="shared" si="10"/>
        <v>0</v>
      </c>
      <c r="S18" s="29">
        <f t="shared" si="10"/>
        <v>0</v>
      </c>
      <c r="T18" s="29">
        <f t="shared" si="10"/>
        <v>0</v>
      </c>
      <c r="U18" s="29">
        <f t="shared" si="10"/>
        <v>0</v>
      </c>
      <c r="V18" s="29">
        <f t="shared" si="10"/>
        <v>0</v>
      </c>
      <c r="W18" s="29">
        <f t="shared" si="10"/>
        <v>0</v>
      </c>
      <c r="X18" s="29">
        <f t="shared" si="10"/>
        <v>0</v>
      </c>
      <c r="Y18" s="29">
        <f t="shared" si="10"/>
        <v>0</v>
      </c>
      <c r="Z18" s="29">
        <f t="shared" si="10"/>
        <v>0</v>
      </c>
      <c r="AA18" s="100">
        <f>'Calculs financiers'!D17+'Calculs financiers'!D35</f>
        <v>0</v>
      </c>
      <c r="AB18" s="29">
        <f>$AN$18/12</f>
        <v>0</v>
      </c>
      <c r="AC18" s="29">
        <f t="shared" ref="AC18:AM18" si="11">$AN$18/12</f>
        <v>0</v>
      </c>
      <c r="AD18" s="29">
        <f t="shared" si="11"/>
        <v>0</v>
      </c>
      <c r="AE18" s="29">
        <f t="shared" si="11"/>
        <v>0</v>
      </c>
      <c r="AF18" s="29">
        <f t="shared" si="11"/>
        <v>0</v>
      </c>
      <c r="AG18" s="29">
        <f t="shared" si="11"/>
        <v>0</v>
      </c>
      <c r="AH18" s="29">
        <f t="shared" si="11"/>
        <v>0</v>
      </c>
      <c r="AI18" s="29">
        <f t="shared" si="11"/>
        <v>0</v>
      </c>
      <c r="AJ18" s="29">
        <f t="shared" si="11"/>
        <v>0</v>
      </c>
      <c r="AK18" s="29">
        <f t="shared" si="11"/>
        <v>0</v>
      </c>
      <c r="AL18" s="29">
        <f t="shared" si="11"/>
        <v>0</v>
      </c>
      <c r="AM18" s="29">
        <f t="shared" si="11"/>
        <v>0</v>
      </c>
      <c r="AN18" s="100">
        <f>'Calculs financiers'!D18+'Calculs financiers'!D36</f>
        <v>0</v>
      </c>
      <c r="AO18" s="29">
        <f>$BA$18/12</f>
        <v>0</v>
      </c>
      <c r="AP18" s="29">
        <f t="shared" ref="AP18:AY18" si="12">$BA$18/12</f>
        <v>0</v>
      </c>
      <c r="AQ18" s="29">
        <f t="shared" si="12"/>
        <v>0</v>
      </c>
      <c r="AR18" s="29">
        <f t="shared" si="12"/>
        <v>0</v>
      </c>
      <c r="AS18" s="29">
        <f t="shared" si="12"/>
        <v>0</v>
      </c>
      <c r="AT18" s="29">
        <f t="shared" si="12"/>
        <v>0</v>
      </c>
      <c r="AU18" s="29">
        <f t="shared" si="12"/>
        <v>0</v>
      </c>
      <c r="AV18" s="29">
        <f t="shared" si="12"/>
        <v>0</v>
      </c>
      <c r="AW18" s="29">
        <f t="shared" si="12"/>
        <v>0</v>
      </c>
      <c r="AX18" s="29">
        <f t="shared" si="12"/>
        <v>0</v>
      </c>
      <c r="AY18" s="29">
        <f t="shared" si="12"/>
        <v>0</v>
      </c>
      <c r="AZ18" s="29">
        <f>$BA$18/12</f>
        <v>0</v>
      </c>
      <c r="BA18" s="100">
        <f>'Calculs financiers'!D19+'Calculs financiers'!D37</f>
        <v>0</v>
      </c>
      <c r="BB18" s="29">
        <f>$BN$18/12</f>
        <v>0</v>
      </c>
      <c r="BC18" s="29">
        <f t="shared" ref="BC18:BM18" si="13">$BN$18/12</f>
        <v>0</v>
      </c>
      <c r="BD18" s="29">
        <f t="shared" si="13"/>
        <v>0</v>
      </c>
      <c r="BE18" s="29">
        <f t="shared" si="13"/>
        <v>0</v>
      </c>
      <c r="BF18" s="29">
        <f t="shared" si="13"/>
        <v>0</v>
      </c>
      <c r="BG18" s="29">
        <f t="shared" si="13"/>
        <v>0</v>
      </c>
      <c r="BH18" s="29">
        <f t="shared" si="13"/>
        <v>0</v>
      </c>
      <c r="BI18" s="29">
        <f t="shared" si="13"/>
        <v>0</v>
      </c>
      <c r="BJ18" s="29">
        <f t="shared" si="13"/>
        <v>0</v>
      </c>
      <c r="BK18" s="29">
        <f t="shared" si="13"/>
        <v>0</v>
      </c>
      <c r="BL18" s="29">
        <f t="shared" si="13"/>
        <v>0</v>
      </c>
      <c r="BM18" s="29">
        <f t="shared" si="13"/>
        <v>0</v>
      </c>
      <c r="BN18" s="100">
        <f>'Calculs financiers'!D20+'Calculs financiers'!D38</f>
        <v>0</v>
      </c>
    </row>
    <row r="19" spans="1:66" ht="34.5" customHeight="1" x14ac:dyDescent="0.3">
      <c r="A19" s="14" t="s">
        <v>160</v>
      </c>
      <c r="B19" s="29">
        <f>$N$19/12</f>
        <v>0</v>
      </c>
      <c r="C19" s="29">
        <f t="shared" ref="C19:M19" si="14">$N$19/12</f>
        <v>0</v>
      </c>
      <c r="D19" s="29">
        <f t="shared" si="14"/>
        <v>0</v>
      </c>
      <c r="E19" s="29">
        <f t="shared" si="14"/>
        <v>0</v>
      </c>
      <c r="F19" s="29">
        <f t="shared" si="14"/>
        <v>0</v>
      </c>
      <c r="G19" s="29">
        <f t="shared" si="14"/>
        <v>0</v>
      </c>
      <c r="H19" s="29">
        <f t="shared" si="14"/>
        <v>0</v>
      </c>
      <c r="I19" s="29">
        <f t="shared" si="14"/>
        <v>0</v>
      </c>
      <c r="J19" s="29">
        <f t="shared" si="14"/>
        <v>0</v>
      </c>
      <c r="K19" s="29">
        <f t="shared" si="14"/>
        <v>0</v>
      </c>
      <c r="L19" s="29">
        <f t="shared" si="14"/>
        <v>0</v>
      </c>
      <c r="M19" s="29">
        <f t="shared" si="14"/>
        <v>0</v>
      </c>
      <c r="N19" s="100">
        <f>'Calculs financiers'!D60</f>
        <v>0</v>
      </c>
      <c r="O19" s="29">
        <f>$AA$19/12</f>
        <v>0</v>
      </c>
      <c r="P19" s="29">
        <f t="shared" ref="P19:Y19" si="15">$AA$19/12</f>
        <v>0</v>
      </c>
      <c r="Q19" s="29">
        <f t="shared" si="15"/>
        <v>0</v>
      </c>
      <c r="R19" s="29">
        <f t="shared" si="15"/>
        <v>0</v>
      </c>
      <c r="S19" s="29">
        <f t="shared" si="15"/>
        <v>0</v>
      </c>
      <c r="T19" s="29">
        <f t="shared" si="15"/>
        <v>0</v>
      </c>
      <c r="U19" s="29">
        <f t="shared" si="15"/>
        <v>0</v>
      </c>
      <c r="V19" s="29">
        <f t="shared" si="15"/>
        <v>0</v>
      </c>
      <c r="W19" s="29">
        <f t="shared" si="15"/>
        <v>0</v>
      </c>
      <c r="X19" s="29">
        <f t="shared" si="15"/>
        <v>0</v>
      </c>
      <c r="Y19" s="29">
        <f t="shared" si="15"/>
        <v>0</v>
      </c>
      <c r="Z19" s="29">
        <f>$AA$19/12</f>
        <v>0</v>
      </c>
      <c r="AA19" s="100">
        <f>'Calculs financiers'!D61</f>
        <v>0</v>
      </c>
      <c r="AB19" s="29">
        <f>$AN$19/12</f>
        <v>0</v>
      </c>
      <c r="AC19" s="29">
        <f t="shared" ref="AC19:AM19" si="16">$AN$19/12</f>
        <v>0</v>
      </c>
      <c r="AD19" s="29">
        <f t="shared" si="16"/>
        <v>0</v>
      </c>
      <c r="AE19" s="29">
        <f t="shared" si="16"/>
        <v>0</v>
      </c>
      <c r="AF19" s="29">
        <f t="shared" si="16"/>
        <v>0</v>
      </c>
      <c r="AG19" s="29">
        <f t="shared" si="16"/>
        <v>0</v>
      </c>
      <c r="AH19" s="29">
        <f t="shared" si="16"/>
        <v>0</v>
      </c>
      <c r="AI19" s="29">
        <f t="shared" si="16"/>
        <v>0</v>
      </c>
      <c r="AJ19" s="29">
        <f t="shared" si="16"/>
        <v>0</v>
      </c>
      <c r="AK19" s="29">
        <f t="shared" si="16"/>
        <v>0</v>
      </c>
      <c r="AL19" s="29">
        <f t="shared" si="16"/>
        <v>0</v>
      </c>
      <c r="AM19" s="29">
        <f t="shared" si="16"/>
        <v>0</v>
      </c>
      <c r="AN19" s="100">
        <f>'Calculs financiers'!D62</f>
        <v>0</v>
      </c>
      <c r="AO19" s="29">
        <f>$BA$19/12</f>
        <v>0</v>
      </c>
      <c r="AP19" s="29">
        <f t="shared" ref="AP19:AZ19" si="17">$BA$19/12</f>
        <v>0</v>
      </c>
      <c r="AQ19" s="29">
        <f t="shared" si="17"/>
        <v>0</v>
      </c>
      <c r="AR19" s="29">
        <f t="shared" si="17"/>
        <v>0</v>
      </c>
      <c r="AS19" s="29">
        <f t="shared" si="17"/>
        <v>0</v>
      </c>
      <c r="AT19" s="29">
        <f t="shared" si="17"/>
        <v>0</v>
      </c>
      <c r="AU19" s="29">
        <f t="shared" si="17"/>
        <v>0</v>
      </c>
      <c r="AV19" s="29">
        <f t="shared" si="17"/>
        <v>0</v>
      </c>
      <c r="AW19" s="29">
        <f t="shared" si="17"/>
        <v>0</v>
      </c>
      <c r="AX19" s="29">
        <f t="shared" si="17"/>
        <v>0</v>
      </c>
      <c r="AY19" s="29">
        <f t="shared" si="17"/>
        <v>0</v>
      </c>
      <c r="AZ19" s="29">
        <f t="shared" si="17"/>
        <v>0</v>
      </c>
      <c r="BA19" s="100">
        <f>'Calculs financiers'!D63</f>
        <v>0</v>
      </c>
      <c r="BB19" s="29">
        <f>$BN$19/12</f>
        <v>0</v>
      </c>
      <c r="BC19" s="29">
        <f t="shared" ref="BC19:BM19" si="18">$BN$19/12</f>
        <v>0</v>
      </c>
      <c r="BD19" s="29">
        <f t="shared" si="18"/>
        <v>0</v>
      </c>
      <c r="BE19" s="29">
        <f t="shared" si="18"/>
        <v>0</v>
      </c>
      <c r="BF19" s="29">
        <f t="shared" si="18"/>
        <v>0</v>
      </c>
      <c r="BG19" s="29">
        <f t="shared" si="18"/>
        <v>0</v>
      </c>
      <c r="BH19" s="29">
        <f t="shared" si="18"/>
        <v>0</v>
      </c>
      <c r="BI19" s="29">
        <f t="shared" si="18"/>
        <v>0</v>
      </c>
      <c r="BJ19" s="29">
        <f t="shared" si="18"/>
        <v>0</v>
      </c>
      <c r="BK19" s="29">
        <f t="shared" si="18"/>
        <v>0</v>
      </c>
      <c r="BL19" s="29">
        <f t="shared" si="18"/>
        <v>0</v>
      </c>
      <c r="BM19" s="29">
        <f t="shared" si="18"/>
        <v>0</v>
      </c>
      <c r="BN19" s="100">
        <f>'Calculs financiers'!D64</f>
        <v>0</v>
      </c>
    </row>
    <row r="20" spans="1:66" x14ac:dyDescent="0.3">
      <c r="A20" s="14" t="s">
        <v>161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100">
        <f t="shared" si="2"/>
        <v>0</v>
      </c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100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100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100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100"/>
    </row>
    <row r="21" spans="1:66" x14ac:dyDescent="0.3">
      <c r="A21" s="14" t="s">
        <v>162</v>
      </c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100">
        <f t="shared" si="2"/>
        <v>0</v>
      </c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100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100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100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100"/>
    </row>
    <row r="22" spans="1:66" x14ac:dyDescent="0.3">
      <c r="A22" s="14" t="s">
        <v>163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100">
        <f t="shared" si="2"/>
        <v>0</v>
      </c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100">
        <f t="shared" si="3"/>
        <v>0</v>
      </c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100">
        <f t="shared" si="4"/>
        <v>0</v>
      </c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100">
        <f t="shared" si="5"/>
        <v>0</v>
      </c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100">
        <f t="shared" si="6"/>
        <v>0</v>
      </c>
    </row>
    <row r="23" spans="1:66" x14ac:dyDescent="0.3">
      <c r="A23" s="14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100">
        <f t="shared" si="2"/>
        <v>0</v>
      </c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100">
        <f t="shared" si="3"/>
        <v>0</v>
      </c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100">
        <f t="shared" si="4"/>
        <v>0</v>
      </c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100">
        <f t="shared" si="5"/>
        <v>0</v>
      </c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100">
        <f t="shared" si="6"/>
        <v>0</v>
      </c>
    </row>
    <row r="24" spans="1:66" ht="28.8" x14ac:dyDescent="0.3">
      <c r="A24" s="13" t="s">
        <v>122</v>
      </c>
      <c r="B24" s="100">
        <f>SUM(B2:B23)</f>
        <v>1268000</v>
      </c>
      <c r="C24" s="100">
        <f t="shared" ref="C24:BN24" si="19">SUM(C2:C23)</f>
        <v>918000</v>
      </c>
      <c r="D24" s="100">
        <f t="shared" si="19"/>
        <v>1068000</v>
      </c>
      <c r="E24" s="100">
        <f t="shared" si="19"/>
        <v>918000</v>
      </c>
      <c r="F24" s="100">
        <f t="shared" si="19"/>
        <v>918000</v>
      </c>
      <c r="G24" s="100">
        <f t="shared" si="19"/>
        <v>1068000</v>
      </c>
      <c r="H24" s="100">
        <f t="shared" si="19"/>
        <v>918000</v>
      </c>
      <c r="I24" s="100">
        <f t="shared" si="19"/>
        <v>918000</v>
      </c>
      <c r="J24" s="100">
        <f t="shared" si="19"/>
        <v>1068000</v>
      </c>
      <c r="K24" s="100">
        <f t="shared" si="19"/>
        <v>918000</v>
      </c>
      <c r="L24" s="100">
        <f t="shared" si="19"/>
        <v>918000</v>
      </c>
      <c r="M24" s="100">
        <f t="shared" si="19"/>
        <v>1068000</v>
      </c>
      <c r="N24" s="100">
        <f t="shared" si="19"/>
        <v>12572981.25</v>
      </c>
      <c r="O24" s="100">
        <f t="shared" si="19"/>
        <v>1268000</v>
      </c>
      <c r="P24" s="100">
        <f t="shared" si="19"/>
        <v>918000</v>
      </c>
      <c r="Q24" s="100">
        <f t="shared" si="19"/>
        <v>1068000</v>
      </c>
      <c r="R24" s="100">
        <f t="shared" si="19"/>
        <v>918000</v>
      </c>
      <c r="S24" s="100">
        <f t="shared" si="19"/>
        <v>918000</v>
      </c>
      <c r="T24" s="100">
        <f t="shared" si="19"/>
        <v>1068000</v>
      </c>
      <c r="U24" s="100">
        <f t="shared" si="19"/>
        <v>918000</v>
      </c>
      <c r="V24" s="100">
        <f t="shared" si="19"/>
        <v>918000</v>
      </c>
      <c r="W24" s="100">
        <f t="shared" si="19"/>
        <v>1068000</v>
      </c>
      <c r="X24" s="100">
        <f t="shared" si="19"/>
        <v>918000</v>
      </c>
      <c r="Y24" s="100">
        <f t="shared" si="19"/>
        <v>918000</v>
      </c>
      <c r="Z24" s="100">
        <f t="shared" si="19"/>
        <v>1068000</v>
      </c>
      <c r="AA24" s="100">
        <f t="shared" si="19"/>
        <v>12564859.852499999</v>
      </c>
      <c r="AB24" s="100">
        <f t="shared" si="19"/>
        <v>1268000</v>
      </c>
      <c r="AC24" s="100">
        <f t="shared" si="19"/>
        <v>918000</v>
      </c>
      <c r="AD24" s="100">
        <f t="shared" si="19"/>
        <v>1068000</v>
      </c>
      <c r="AE24" s="100">
        <f t="shared" si="19"/>
        <v>918000</v>
      </c>
      <c r="AF24" s="100">
        <f t="shared" si="19"/>
        <v>918000</v>
      </c>
      <c r="AG24" s="100">
        <f t="shared" si="19"/>
        <v>1068000</v>
      </c>
      <c r="AH24" s="100">
        <f t="shared" si="19"/>
        <v>918000</v>
      </c>
      <c r="AI24" s="100">
        <f t="shared" si="19"/>
        <v>918000</v>
      </c>
      <c r="AJ24" s="100">
        <f t="shared" si="19"/>
        <v>1068000</v>
      </c>
      <c r="AK24" s="100">
        <f t="shared" si="19"/>
        <v>918000</v>
      </c>
      <c r="AL24" s="100">
        <f t="shared" si="19"/>
        <v>918000</v>
      </c>
      <c r="AM24" s="100">
        <f t="shared" si="19"/>
        <v>1068000</v>
      </c>
      <c r="AN24" s="100">
        <f t="shared" si="19"/>
        <v>12590832.975</v>
      </c>
      <c r="AO24" s="100">
        <f t="shared" si="19"/>
        <v>0</v>
      </c>
      <c r="AP24" s="100">
        <f t="shared" si="19"/>
        <v>0</v>
      </c>
      <c r="AQ24" s="100">
        <f t="shared" si="19"/>
        <v>0</v>
      </c>
      <c r="AR24" s="100">
        <f t="shared" si="19"/>
        <v>0</v>
      </c>
      <c r="AS24" s="100">
        <f t="shared" si="19"/>
        <v>0</v>
      </c>
      <c r="AT24" s="100">
        <f t="shared" si="19"/>
        <v>0</v>
      </c>
      <c r="AU24" s="100">
        <f t="shared" si="19"/>
        <v>0</v>
      </c>
      <c r="AV24" s="100">
        <f t="shared" si="19"/>
        <v>0</v>
      </c>
      <c r="AW24" s="100">
        <f t="shared" si="19"/>
        <v>0</v>
      </c>
      <c r="AX24" s="100">
        <f t="shared" si="19"/>
        <v>0</v>
      </c>
      <c r="AY24" s="100">
        <f t="shared" si="19"/>
        <v>0</v>
      </c>
      <c r="AZ24" s="100">
        <f t="shared" si="19"/>
        <v>0</v>
      </c>
      <c r="BA24" s="100">
        <f t="shared" si="19"/>
        <v>482753.0405</v>
      </c>
      <c r="BB24" s="100">
        <f t="shared" si="19"/>
        <v>0</v>
      </c>
      <c r="BC24" s="100">
        <f t="shared" si="19"/>
        <v>0</v>
      </c>
      <c r="BD24" s="100">
        <f t="shared" si="19"/>
        <v>0</v>
      </c>
      <c r="BE24" s="100">
        <f t="shared" si="19"/>
        <v>0</v>
      </c>
      <c r="BF24" s="100">
        <f t="shared" si="19"/>
        <v>0</v>
      </c>
      <c r="BG24" s="100">
        <f t="shared" si="19"/>
        <v>0</v>
      </c>
      <c r="BH24" s="100">
        <f t="shared" si="19"/>
        <v>0</v>
      </c>
      <c r="BI24" s="100">
        <f t="shared" si="19"/>
        <v>0</v>
      </c>
      <c r="BJ24" s="100">
        <f t="shared" si="19"/>
        <v>0</v>
      </c>
      <c r="BK24" s="100">
        <f t="shared" si="19"/>
        <v>0</v>
      </c>
      <c r="BL24" s="100">
        <f t="shared" si="19"/>
        <v>0</v>
      </c>
      <c r="BM24" s="100">
        <f t="shared" si="19"/>
        <v>0</v>
      </c>
      <c r="BN24" s="100">
        <f t="shared" si="19"/>
        <v>1380924.4678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18D4B-9BD3-4C70-B449-0D829C7F4651}">
  <sheetPr>
    <tabColor rgb="FFFFFF00"/>
  </sheetPr>
  <dimension ref="A2:B5"/>
  <sheetViews>
    <sheetView workbookViewId="0">
      <selection activeCell="C6" sqref="C6"/>
    </sheetView>
  </sheetViews>
  <sheetFormatPr baseColWidth="10" defaultRowHeight="14.4" x14ac:dyDescent="0.3"/>
  <sheetData>
    <row r="2" spans="1:2" x14ac:dyDescent="0.3">
      <c r="B2" s="137"/>
    </row>
    <row r="3" spans="1:2" x14ac:dyDescent="0.3">
      <c r="A3" t="s">
        <v>499</v>
      </c>
      <c r="B3" s="137">
        <v>50000000</v>
      </c>
    </row>
    <row r="4" spans="1:2" x14ac:dyDescent="0.3">
      <c r="A4" t="s">
        <v>500</v>
      </c>
      <c r="B4" s="137">
        <v>7000000</v>
      </c>
    </row>
    <row r="5" spans="1:2" x14ac:dyDescent="0.3">
      <c r="A5" t="s">
        <v>501</v>
      </c>
      <c r="B5" s="137">
        <v>5623482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BN61"/>
  <sheetViews>
    <sheetView workbookViewId="0">
      <pane xSplit="7" ySplit="4" topLeftCell="H5" activePane="bottomRight" state="frozen"/>
      <selection pane="topRight" activeCell="H1" sqref="H1"/>
      <selection pane="bottomLeft" activeCell="A5" sqref="A5"/>
      <selection pane="bottomRight" activeCell="B2" sqref="B2"/>
    </sheetView>
  </sheetViews>
  <sheetFormatPr baseColWidth="10" defaultRowHeight="14.4" x14ac:dyDescent="0.3"/>
  <cols>
    <col min="2" max="2" width="14.109375" bestFit="1" customWidth="1"/>
    <col min="14" max="14" width="14.109375" bestFit="1" customWidth="1"/>
  </cols>
  <sheetData>
    <row r="1" spans="1:66" ht="43.2" x14ac:dyDescent="0.3">
      <c r="A1" s="5" t="s">
        <v>223</v>
      </c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7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6" t="s">
        <v>20</v>
      </c>
      <c r="W1" s="6" t="s">
        <v>21</v>
      </c>
      <c r="X1" s="6" t="s">
        <v>22</v>
      </c>
      <c r="Y1" s="6" t="s">
        <v>23</v>
      </c>
      <c r="Z1" s="6" t="s">
        <v>24</v>
      </c>
      <c r="AA1" s="7" t="s">
        <v>25</v>
      </c>
      <c r="AB1" s="6" t="s">
        <v>26</v>
      </c>
      <c r="AC1" s="6" t="s">
        <v>27</v>
      </c>
      <c r="AD1" s="6" t="s">
        <v>28</v>
      </c>
      <c r="AE1" s="6" t="s">
        <v>29</v>
      </c>
      <c r="AF1" s="6" t="s">
        <v>30</v>
      </c>
      <c r="AG1" s="6" t="s">
        <v>31</v>
      </c>
      <c r="AH1" s="6" t="s">
        <v>32</v>
      </c>
      <c r="AI1" s="6" t="s">
        <v>33</v>
      </c>
      <c r="AJ1" s="6" t="s">
        <v>34</v>
      </c>
      <c r="AK1" s="6" t="s">
        <v>35</v>
      </c>
      <c r="AL1" s="6" t="s">
        <v>36</v>
      </c>
      <c r="AM1" s="6" t="s">
        <v>37</v>
      </c>
      <c r="AN1" s="7" t="s">
        <v>38</v>
      </c>
      <c r="AO1" s="6" t="s">
        <v>39</v>
      </c>
      <c r="AP1" s="6" t="s">
        <v>40</v>
      </c>
      <c r="AQ1" s="6" t="s">
        <v>41</v>
      </c>
      <c r="AR1" s="6" t="s">
        <v>42</v>
      </c>
      <c r="AS1" s="6" t="s">
        <v>43</v>
      </c>
      <c r="AT1" s="6" t="s">
        <v>44</v>
      </c>
      <c r="AU1" s="6" t="s">
        <v>45</v>
      </c>
      <c r="AV1" s="6" t="s">
        <v>46</v>
      </c>
      <c r="AW1" s="6" t="s">
        <v>47</v>
      </c>
      <c r="AX1" s="6" t="s">
        <v>48</v>
      </c>
      <c r="AY1" s="6" t="s">
        <v>49</v>
      </c>
      <c r="AZ1" s="6" t="s">
        <v>50</v>
      </c>
      <c r="BA1" s="7" t="s">
        <v>51</v>
      </c>
      <c r="BB1" s="6" t="s">
        <v>52</v>
      </c>
      <c r="BC1" s="6" t="s">
        <v>53</v>
      </c>
      <c r="BD1" s="6" t="s">
        <v>54</v>
      </c>
      <c r="BE1" s="6" t="s">
        <v>55</v>
      </c>
      <c r="BF1" s="6" t="s">
        <v>56</v>
      </c>
      <c r="BG1" s="6" t="s">
        <v>57</v>
      </c>
      <c r="BH1" s="6" t="s">
        <v>58</v>
      </c>
      <c r="BI1" s="6" t="s">
        <v>59</v>
      </c>
      <c r="BJ1" s="6" t="s">
        <v>60</v>
      </c>
      <c r="BK1" s="6" t="s">
        <v>61</v>
      </c>
      <c r="BL1" s="6" t="s">
        <v>62</v>
      </c>
      <c r="BM1" s="6" t="s">
        <v>63</v>
      </c>
      <c r="BN1" s="7" t="s">
        <v>64</v>
      </c>
    </row>
    <row r="2" spans="1:66" ht="28.8" x14ac:dyDescent="0.3">
      <c r="A2" s="14" t="s">
        <v>164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12">
        <f t="shared" ref="N2:N33" si="0">SUM(B2:M2)</f>
        <v>0</v>
      </c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12">
        <f t="shared" ref="AA2:AA33" si="1">SUM(O2:Z2)</f>
        <v>0</v>
      </c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12">
        <f t="shared" ref="AN2:AN33" si="2">SUM(AB2:AM2)</f>
        <v>0</v>
      </c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12">
        <f t="shared" ref="BA2:BA33" si="3">SUM(AO2:AZ2)</f>
        <v>0</v>
      </c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12">
        <f t="shared" ref="BN2:BN33" si="4">SUM(BB2:BM2)</f>
        <v>0</v>
      </c>
    </row>
    <row r="3" spans="1:66" ht="28.8" x14ac:dyDescent="0.3">
      <c r="A3" s="14" t="s">
        <v>165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12">
        <f t="shared" si="0"/>
        <v>0</v>
      </c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12">
        <f t="shared" si="1"/>
        <v>0</v>
      </c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12">
        <f t="shared" si="2"/>
        <v>0</v>
      </c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12">
        <f t="shared" si="3"/>
        <v>0</v>
      </c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12">
        <f t="shared" si="4"/>
        <v>0</v>
      </c>
    </row>
    <row r="4" spans="1:66" ht="57.6" x14ac:dyDescent="0.3">
      <c r="A4" s="14" t="s">
        <v>166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12">
        <f t="shared" si="0"/>
        <v>0</v>
      </c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12">
        <f t="shared" si="1"/>
        <v>0</v>
      </c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12">
        <f t="shared" si="2"/>
        <v>0</v>
      </c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12">
        <f t="shared" si="3"/>
        <v>0</v>
      </c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12">
        <f t="shared" si="4"/>
        <v>0</v>
      </c>
    </row>
    <row r="5" spans="1:66" ht="72" x14ac:dyDescent="0.3">
      <c r="A5" s="14" t="s">
        <v>167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12">
        <f t="shared" si="0"/>
        <v>0</v>
      </c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12">
        <f t="shared" si="1"/>
        <v>0</v>
      </c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12">
        <f t="shared" si="2"/>
        <v>0</v>
      </c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12">
        <f t="shared" si="3"/>
        <v>0</v>
      </c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12">
        <f t="shared" si="4"/>
        <v>0</v>
      </c>
    </row>
    <row r="6" spans="1:66" ht="43.2" x14ac:dyDescent="0.3">
      <c r="A6" s="14" t="s">
        <v>168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12">
        <f t="shared" si="0"/>
        <v>0</v>
      </c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12">
        <f t="shared" si="1"/>
        <v>0</v>
      </c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12">
        <f t="shared" si="2"/>
        <v>0</v>
      </c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12">
        <f t="shared" si="3"/>
        <v>0</v>
      </c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12">
        <f t="shared" si="4"/>
        <v>0</v>
      </c>
    </row>
    <row r="7" spans="1:66" ht="43.2" x14ac:dyDescent="0.3">
      <c r="A7" s="14" t="s">
        <v>169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12">
        <f t="shared" si="0"/>
        <v>0</v>
      </c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12">
        <f t="shared" si="1"/>
        <v>0</v>
      </c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12">
        <f t="shared" si="2"/>
        <v>0</v>
      </c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12">
        <f t="shared" si="3"/>
        <v>0</v>
      </c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12">
        <f t="shared" si="4"/>
        <v>0</v>
      </c>
    </row>
    <row r="8" spans="1:66" ht="43.2" x14ac:dyDescent="0.3">
      <c r="A8" s="14" t="s">
        <v>170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12">
        <f t="shared" si="0"/>
        <v>0</v>
      </c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12">
        <f t="shared" si="1"/>
        <v>0</v>
      </c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12">
        <f t="shared" si="2"/>
        <v>0</v>
      </c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12">
        <f t="shared" si="3"/>
        <v>0</v>
      </c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12">
        <f t="shared" si="4"/>
        <v>0</v>
      </c>
    </row>
    <row r="9" spans="1:66" ht="43.2" x14ac:dyDescent="0.3">
      <c r="A9" s="14" t="s">
        <v>171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12">
        <f t="shared" si="0"/>
        <v>0</v>
      </c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12">
        <f t="shared" si="1"/>
        <v>0</v>
      </c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12">
        <f t="shared" si="2"/>
        <v>0</v>
      </c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12">
        <f t="shared" si="3"/>
        <v>0</v>
      </c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12">
        <f t="shared" si="4"/>
        <v>0</v>
      </c>
    </row>
    <row r="10" spans="1:66" ht="57.6" x14ac:dyDescent="0.3">
      <c r="A10" s="14" t="s">
        <v>172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12">
        <f t="shared" si="0"/>
        <v>0</v>
      </c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12">
        <f t="shared" si="1"/>
        <v>0</v>
      </c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12">
        <f t="shared" si="2"/>
        <v>0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12">
        <f t="shared" si="3"/>
        <v>0</v>
      </c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12">
        <f t="shared" si="4"/>
        <v>0</v>
      </c>
    </row>
    <row r="11" spans="1:66" ht="57.6" x14ac:dyDescent="0.3">
      <c r="A11" s="14" t="s">
        <v>173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12">
        <f t="shared" si="0"/>
        <v>0</v>
      </c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12">
        <f t="shared" si="1"/>
        <v>0</v>
      </c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12">
        <f t="shared" si="2"/>
        <v>0</v>
      </c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12">
        <f t="shared" si="3"/>
        <v>0</v>
      </c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12">
        <f t="shared" si="4"/>
        <v>0</v>
      </c>
    </row>
    <row r="12" spans="1:66" ht="57.6" x14ac:dyDescent="0.3">
      <c r="A12" s="14" t="s">
        <v>174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12">
        <f t="shared" si="0"/>
        <v>0</v>
      </c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12">
        <f t="shared" si="1"/>
        <v>0</v>
      </c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12">
        <f t="shared" si="2"/>
        <v>0</v>
      </c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12">
        <f t="shared" si="3"/>
        <v>0</v>
      </c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12">
        <f t="shared" si="4"/>
        <v>0</v>
      </c>
    </row>
    <row r="13" spans="1:66" ht="72" x14ac:dyDescent="0.3">
      <c r="A13" s="14" t="s">
        <v>175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12">
        <f t="shared" si="0"/>
        <v>0</v>
      </c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12">
        <f t="shared" si="1"/>
        <v>0</v>
      </c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12">
        <f t="shared" si="2"/>
        <v>0</v>
      </c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12">
        <f t="shared" si="3"/>
        <v>0</v>
      </c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12">
        <f t="shared" si="4"/>
        <v>0</v>
      </c>
    </row>
    <row r="14" spans="1:66" x14ac:dyDescent="0.3">
      <c r="A14" s="14" t="s">
        <v>176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12">
        <f t="shared" si="0"/>
        <v>0</v>
      </c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12">
        <f t="shared" si="1"/>
        <v>0</v>
      </c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12">
        <f t="shared" si="2"/>
        <v>0</v>
      </c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12">
        <f t="shared" si="3"/>
        <v>0</v>
      </c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12">
        <f t="shared" si="4"/>
        <v>0</v>
      </c>
    </row>
    <row r="15" spans="1:66" x14ac:dyDescent="0.3">
      <c r="A15" s="14" t="s">
        <v>177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12">
        <f t="shared" si="0"/>
        <v>0</v>
      </c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12">
        <f t="shared" si="1"/>
        <v>0</v>
      </c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12">
        <f t="shared" si="2"/>
        <v>0</v>
      </c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12">
        <f t="shared" si="3"/>
        <v>0</v>
      </c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12">
        <f t="shared" si="4"/>
        <v>0</v>
      </c>
    </row>
    <row r="16" spans="1:66" ht="28.8" x14ac:dyDescent="0.3">
      <c r="A16" s="14" t="s">
        <v>178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12">
        <f t="shared" si="0"/>
        <v>0</v>
      </c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12">
        <f t="shared" si="1"/>
        <v>0</v>
      </c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12">
        <f t="shared" si="2"/>
        <v>0</v>
      </c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12">
        <f t="shared" si="3"/>
        <v>0</v>
      </c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12">
        <f t="shared" si="4"/>
        <v>0</v>
      </c>
    </row>
    <row r="17" spans="1:66" x14ac:dyDescent="0.3">
      <c r="A17" s="14" t="s">
        <v>179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12">
        <f t="shared" si="0"/>
        <v>0</v>
      </c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12">
        <f t="shared" si="1"/>
        <v>0</v>
      </c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12">
        <f t="shared" si="2"/>
        <v>0</v>
      </c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12">
        <f t="shared" si="3"/>
        <v>0</v>
      </c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12">
        <f t="shared" si="4"/>
        <v>0</v>
      </c>
    </row>
    <row r="18" spans="1:66" ht="43.2" x14ac:dyDescent="0.3">
      <c r="A18" s="14" t="s">
        <v>180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12">
        <f t="shared" si="0"/>
        <v>0</v>
      </c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12">
        <f t="shared" si="1"/>
        <v>0</v>
      </c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12">
        <f t="shared" si="2"/>
        <v>0</v>
      </c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12">
        <f t="shared" si="3"/>
        <v>0</v>
      </c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/>
      <c r="BN18" s="12">
        <f t="shared" si="4"/>
        <v>0</v>
      </c>
    </row>
    <row r="19" spans="1:66" ht="72" x14ac:dyDescent="0.3">
      <c r="A19" s="14" t="s">
        <v>181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12">
        <f t="shared" si="0"/>
        <v>0</v>
      </c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12">
        <f t="shared" si="1"/>
        <v>0</v>
      </c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12">
        <f t="shared" si="2"/>
        <v>0</v>
      </c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12">
        <f t="shared" si="3"/>
        <v>0</v>
      </c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12">
        <f t="shared" si="4"/>
        <v>0</v>
      </c>
    </row>
    <row r="20" spans="1:66" ht="57.6" x14ac:dyDescent="0.3">
      <c r="A20" s="14" t="s">
        <v>182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12">
        <f t="shared" si="0"/>
        <v>0</v>
      </c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12">
        <f t="shared" si="1"/>
        <v>0</v>
      </c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12">
        <f t="shared" si="2"/>
        <v>0</v>
      </c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12">
        <f t="shared" si="3"/>
        <v>0</v>
      </c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12">
        <f t="shared" si="4"/>
        <v>0</v>
      </c>
    </row>
    <row r="21" spans="1:66" ht="43.2" x14ac:dyDescent="0.3">
      <c r="A21" s="14" t="s">
        <v>183</v>
      </c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12">
        <f t="shared" si="0"/>
        <v>0</v>
      </c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12">
        <f t="shared" si="1"/>
        <v>0</v>
      </c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12">
        <f t="shared" si="2"/>
        <v>0</v>
      </c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12">
        <f t="shared" si="3"/>
        <v>0</v>
      </c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12">
        <f t="shared" si="4"/>
        <v>0</v>
      </c>
    </row>
    <row r="22" spans="1:66" x14ac:dyDescent="0.3">
      <c r="A22" s="14" t="s">
        <v>184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12">
        <f t="shared" si="0"/>
        <v>0</v>
      </c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12">
        <f t="shared" si="1"/>
        <v>0</v>
      </c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12">
        <f t="shared" si="2"/>
        <v>0</v>
      </c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12">
        <f t="shared" si="3"/>
        <v>0</v>
      </c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12">
        <f t="shared" si="4"/>
        <v>0</v>
      </c>
    </row>
    <row r="23" spans="1:66" ht="28.8" x14ac:dyDescent="0.3">
      <c r="A23" s="14" t="s">
        <v>185</v>
      </c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12">
        <f t="shared" si="0"/>
        <v>0</v>
      </c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12">
        <f t="shared" si="1"/>
        <v>0</v>
      </c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12">
        <f t="shared" si="2"/>
        <v>0</v>
      </c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12">
        <f t="shared" si="3"/>
        <v>0</v>
      </c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12">
        <f t="shared" si="4"/>
        <v>0</v>
      </c>
    </row>
    <row r="24" spans="1:66" ht="57.6" x14ac:dyDescent="0.3">
      <c r="A24" s="14" t="s">
        <v>186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12">
        <f t="shared" si="0"/>
        <v>0</v>
      </c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12">
        <f t="shared" si="1"/>
        <v>0</v>
      </c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12">
        <f t="shared" si="2"/>
        <v>0</v>
      </c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12">
        <f t="shared" si="3"/>
        <v>0</v>
      </c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12">
        <f t="shared" si="4"/>
        <v>0</v>
      </c>
    </row>
    <row r="25" spans="1:66" ht="28.8" x14ac:dyDescent="0.3">
      <c r="A25" s="14" t="s">
        <v>187</v>
      </c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12">
        <f t="shared" si="0"/>
        <v>0</v>
      </c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12">
        <f t="shared" si="1"/>
        <v>0</v>
      </c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12">
        <f t="shared" si="2"/>
        <v>0</v>
      </c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12">
        <f t="shared" si="3"/>
        <v>0</v>
      </c>
      <c r="BB25" s="9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  <c r="BN25" s="12">
        <f t="shared" si="4"/>
        <v>0</v>
      </c>
    </row>
    <row r="26" spans="1:66" ht="28.8" x14ac:dyDescent="0.3">
      <c r="A26" s="14" t="s">
        <v>188</v>
      </c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12">
        <f t="shared" si="0"/>
        <v>0</v>
      </c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12">
        <f t="shared" si="1"/>
        <v>0</v>
      </c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12">
        <f t="shared" si="2"/>
        <v>0</v>
      </c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12">
        <f t="shared" si="3"/>
        <v>0</v>
      </c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12">
        <f t="shared" si="4"/>
        <v>0</v>
      </c>
    </row>
    <row r="27" spans="1:66" ht="43.2" x14ac:dyDescent="0.3">
      <c r="A27" s="14" t="s">
        <v>189</v>
      </c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12">
        <f t="shared" si="0"/>
        <v>0</v>
      </c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12">
        <f t="shared" si="1"/>
        <v>0</v>
      </c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12">
        <f t="shared" si="2"/>
        <v>0</v>
      </c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12">
        <f t="shared" si="3"/>
        <v>0</v>
      </c>
      <c r="BB27" s="9"/>
      <c r="BC27" s="9"/>
      <c r="BD27" s="9"/>
      <c r="BE27" s="9"/>
      <c r="BF27" s="9"/>
      <c r="BG27" s="9"/>
      <c r="BH27" s="9"/>
      <c r="BI27" s="9"/>
      <c r="BJ27" s="9"/>
      <c r="BK27" s="9"/>
      <c r="BL27" s="9"/>
      <c r="BM27" s="9"/>
      <c r="BN27" s="12">
        <f t="shared" si="4"/>
        <v>0</v>
      </c>
    </row>
    <row r="28" spans="1:66" ht="28.8" x14ac:dyDescent="0.3">
      <c r="A28" s="14" t="s">
        <v>190</v>
      </c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12">
        <f t="shared" si="0"/>
        <v>0</v>
      </c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12">
        <f t="shared" si="1"/>
        <v>0</v>
      </c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12">
        <f t="shared" si="2"/>
        <v>0</v>
      </c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12">
        <f t="shared" si="3"/>
        <v>0</v>
      </c>
      <c r="BB28" s="9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  <c r="BN28" s="12">
        <f t="shared" si="4"/>
        <v>0</v>
      </c>
    </row>
    <row r="29" spans="1:66" ht="57.6" x14ac:dyDescent="0.3">
      <c r="A29" s="14" t="s">
        <v>191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12">
        <f t="shared" si="0"/>
        <v>0</v>
      </c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12">
        <f t="shared" si="1"/>
        <v>0</v>
      </c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12">
        <f t="shared" si="2"/>
        <v>0</v>
      </c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12">
        <f t="shared" si="3"/>
        <v>0</v>
      </c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12">
        <f t="shared" si="4"/>
        <v>0</v>
      </c>
    </row>
    <row r="30" spans="1:66" ht="43.2" x14ac:dyDescent="0.3">
      <c r="A30" s="14" t="s">
        <v>192</v>
      </c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12">
        <f t="shared" si="0"/>
        <v>0</v>
      </c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12">
        <f t="shared" si="1"/>
        <v>0</v>
      </c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12">
        <f t="shared" si="2"/>
        <v>0</v>
      </c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12">
        <f t="shared" si="3"/>
        <v>0</v>
      </c>
      <c r="BB30" s="9"/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  <c r="BN30" s="12">
        <f t="shared" si="4"/>
        <v>0</v>
      </c>
    </row>
    <row r="31" spans="1:66" ht="43.2" x14ac:dyDescent="0.3">
      <c r="A31" s="14" t="s">
        <v>193</v>
      </c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12">
        <f t="shared" si="0"/>
        <v>0</v>
      </c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12">
        <f t="shared" si="1"/>
        <v>0</v>
      </c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12">
        <f t="shared" si="2"/>
        <v>0</v>
      </c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12">
        <f t="shared" si="3"/>
        <v>0</v>
      </c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  <c r="BN31" s="12">
        <f t="shared" si="4"/>
        <v>0</v>
      </c>
    </row>
    <row r="32" spans="1:66" ht="43.2" x14ac:dyDescent="0.3">
      <c r="A32" s="14" t="s">
        <v>194</v>
      </c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12">
        <f t="shared" si="0"/>
        <v>0</v>
      </c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12">
        <f t="shared" si="1"/>
        <v>0</v>
      </c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12">
        <f t="shared" si="2"/>
        <v>0</v>
      </c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12">
        <f t="shared" si="3"/>
        <v>0</v>
      </c>
      <c r="BB32" s="9"/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9"/>
      <c r="BN32" s="12">
        <f t="shared" si="4"/>
        <v>0</v>
      </c>
    </row>
    <row r="33" spans="1:66" ht="28.8" x14ac:dyDescent="0.3">
      <c r="A33" s="14" t="s">
        <v>195</v>
      </c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12">
        <f t="shared" si="0"/>
        <v>0</v>
      </c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12">
        <f t="shared" si="1"/>
        <v>0</v>
      </c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12">
        <f t="shared" si="2"/>
        <v>0</v>
      </c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12">
        <f t="shared" si="3"/>
        <v>0</v>
      </c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12">
        <f t="shared" si="4"/>
        <v>0</v>
      </c>
    </row>
    <row r="34" spans="1:66" ht="43.2" x14ac:dyDescent="0.3">
      <c r="A34" s="14" t="s">
        <v>196</v>
      </c>
      <c r="B34" s="135">
        <v>1000000</v>
      </c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12">
        <f t="shared" ref="N34:N60" si="5">SUM(B34:M34)</f>
        <v>1000000</v>
      </c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12">
        <f t="shared" ref="AA34:AA60" si="6">SUM(O34:Z34)</f>
        <v>0</v>
      </c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12">
        <f t="shared" ref="AN34:AN60" si="7">SUM(AB34:AM34)</f>
        <v>0</v>
      </c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12">
        <f t="shared" ref="BA34:BA60" si="8">SUM(AO34:AZ34)</f>
        <v>0</v>
      </c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12">
        <f t="shared" ref="BN34:BN60" si="9">SUM(BB34:BM34)</f>
        <v>0</v>
      </c>
    </row>
    <row r="35" spans="1:66" ht="43.2" x14ac:dyDescent="0.3">
      <c r="A35" s="14" t="s">
        <v>197</v>
      </c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12">
        <f t="shared" si="5"/>
        <v>0</v>
      </c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12">
        <f t="shared" si="6"/>
        <v>0</v>
      </c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12">
        <f t="shared" si="7"/>
        <v>0</v>
      </c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12">
        <f t="shared" si="8"/>
        <v>0</v>
      </c>
      <c r="BB35" s="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  <c r="BN35" s="12">
        <f t="shared" si="9"/>
        <v>0</v>
      </c>
    </row>
    <row r="36" spans="1:66" ht="72" x14ac:dyDescent="0.3">
      <c r="A36" s="14" t="s">
        <v>198</v>
      </c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12">
        <f t="shared" si="5"/>
        <v>0</v>
      </c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12">
        <f t="shared" si="6"/>
        <v>0</v>
      </c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12">
        <f t="shared" si="7"/>
        <v>0</v>
      </c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12">
        <f t="shared" si="8"/>
        <v>0</v>
      </c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12">
        <f t="shared" si="9"/>
        <v>0</v>
      </c>
    </row>
    <row r="37" spans="1:66" ht="43.2" x14ac:dyDescent="0.3">
      <c r="A37" s="14" t="s">
        <v>199</v>
      </c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12">
        <f t="shared" si="5"/>
        <v>0</v>
      </c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12">
        <f t="shared" si="6"/>
        <v>0</v>
      </c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12">
        <f t="shared" si="7"/>
        <v>0</v>
      </c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12">
        <f t="shared" si="8"/>
        <v>0</v>
      </c>
      <c r="BB37" s="9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9"/>
      <c r="BN37" s="12">
        <f t="shared" si="9"/>
        <v>0</v>
      </c>
    </row>
    <row r="38" spans="1:66" ht="43.2" x14ac:dyDescent="0.3">
      <c r="A38" s="14" t="s">
        <v>232</v>
      </c>
      <c r="B38" s="9">
        <v>17000000</v>
      </c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12">
        <f t="shared" si="5"/>
        <v>17000000</v>
      </c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12">
        <f t="shared" si="6"/>
        <v>0</v>
      </c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12">
        <f t="shared" si="7"/>
        <v>0</v>
      </c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12">
        <f t="shared" si="8"/>
        <v>0</v>
      </c>
      <c r="BB38" s="9"/>
      <c r="BC38" s="9"/>
      <c r="BD38" s="9"/>
      <c r="BE38" s="9"/>
      <c r="BF38" s="9"/>
      <c r="BG38" s="9"/>
      <c r="BH38" s="9"/>
      <c r="BI38" s="9"/>
      <c r="BJ38" s="9"/>
      <c r="BK38" s="9"/>
      <c r="BL38" s="9"/>
      <c r="BM38" s="9"/>
      <c r="BN38" s="12">
        <f t="shared" si="9"/>
        <v>0</v>
      </c>
    </row>
    <row r="39" spans="1:66" ht="43.2" x14ac:dyDescent="0.3">
      <c r="A39" s="14" t="s">
        <v>200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12">
        <f t="shared" si="5"/>
        <v>0</v>
      </c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12">
        <f t="shared" si="6"/>
        <v>0</v>
      </c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12">
        <f t="shared" si="7"/>
        <v>0</v>
      </c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12">
        <f t="shared" si="8"/>
        <v>0</v>
      </c>
      <c r="BB39" s="9"/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9"/>
      <c r="BN39" s="12">
        <f t="shared" si="9"/>
        <v>0</v>
      </c>
    </row>
    <row r="40" spans="1:66" ht="72" x14ac:dyDescent="0.3">
      <c r="A40" s="14" t="s">
        <v>201</v>
      </c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12">
        <f t="shared" si="5"/>
        <v>0</v>
      </c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12">
        <f t="shared" si="6"/>
        <v>0</v>
      </c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12">
        <f t="shared" si="7"/>
        <v>0</v>
      </c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12">
        <f t="shared" si="8"/>
        <v>0</v>
      </c>
      <c r="BB40" s="9"/>
      <c r="BC40" s="9"/>
      <c r="BD40" s="9"/>
      <c r="BE40" s="9"/>
      <c r="BF40" s="9"/>
      <c r="BG40" s="9"/>
      <c r="BH40" s="9"/>
      <c r="BI40" s="9"/>
      <c r="BJ40" s="9"/>
      <c r="BK40" s="9"/>
      <c r="BL40" s="9"/>
      <c r="BM40" s="9"/>
      <c r="BN40" s="12">
        <f t="shared" si="9"/>
        <v>0</v>
      </c>
    </row>
    <row r="41" spans="1:66" ht="28.8" x14ac:dyDescent="0.3">
      <c r="A41" s="14" t="s">
        <v>202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12">
        <f t="shared" si="5"/>
        <v>0</v>
      </c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12">
        <f t="shared" si="6"/>
        <v>0</v>
      </c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12">
        <f t="shared" si="7"/>
        <v>0</v>
      </c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12">
        <f t="shared" si="8"/>
        <v>0</v>
      </c>
      <c r="BB41" s="9"/>
      <c r="BC41" s="9"/>
      <c r="BD41" s="9"/>
      <c r="BE41" s="9"/>
      <c r="BF41" s="9"/>
      <c r="BG41" s="9"/>
      <c r="BH41" s="9"/>
      <c r="BI41" s="9"/>
      <c r="BJ41" s="9"/>
      <c r="BK41" s="9"/>
      <c r="BL41" s="9"/>
      <c r="BM41" s="9"/>
      <c r="BN41" s="12">
        <f t="shared" si="9"/>
        <v>0</v>
      </c>
    </row>
    <row r="42" spans="1:66" ht="28.8" x14ac:dyDescent="0.3">
      <c r="A42" s="14" t="s">
        <v>203</v>
      </c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12">
        <f t="shared" si="5"/>
        <v>0</v>
      </c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12">
        <f t="shared" si="6"/>
        <v>0</v>
      </c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12">
        <f t="shared" si="7"/>
        <v>0</v>
      </c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12">
        <f t="shared" si="8"/>
        <v>0</v>
      </c>
      <c r="BB42" s="9"/>
      <c r="BC42" s="9"/>
      <c r="BD42" s="9"/>
      <c r="BE42" s="9"/>
      <c r="BF42" s="9"/>
      <c r="BG42" s="9"/>
      <c r="BH42" s="9"/>
      <c r="BI42" s="9"/>
      <c r="BJ42" s="9"/>
      <c r="BK42" s="9"/>
      <c r="BL42" s="9"/>
      <c r="BM42" s="9"/>
      <c r="BN42" s="12">
        <f t="shared" si="9"/>
        <v>0</v>
      </c>
    </row>
    <row r="43" spans="1:66" ht="43.2" x14ac:dyDescent="0.3">
      <c r="A43" s="14" t="s">
        <v>204</v>
      </c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12">
        <f t="shared" si="5"/>
        <v>0</v>
      </c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12">
        <f t="shared" si="6"/>
        <v>0</v>
      </c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12">
        <f t="shared" si="7"/>
        <v>0</v>
      </c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12">
        <f t="shared" si="8"/>
        <v>0</v>
      </c>
      <c r="BB43" s="9"/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  <c r="BN43" s="12">
        <f t="shared" si="9"/>
        <v>0</v>
      </c>
    </row>
    <row r="44" spans="1:66" ht="57.6" x14ac:dyDescent="0.3">
      <c r="A44" s="14" t="s">
        <v>205</v>
      </c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12">
        <f t="shared" si="5"/>
        <v>0</v>
      </c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12">
        <f t="shared" si="6"/>
        <v>0</v>
      </c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12">
        <f t="shared" si="7"/>
        <v>0</v>
      </c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12">
        <f t="shared" si="8"/>
        <v>0</v>
      </c>
      <c r="BB44" s="9"/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  <c r="BN44" s="12">
        <f t="shared" si="9"/>
        <v>0</v>
      </c>
    </row>
    <row r="45" spans="1:66" ht="28.8" x14ac:dyDescent="0.3">
      <c r="A45" s="14" t="s">
        <v>206</v>
      </c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12">
        <f t="shared" si="5"/>
        <v>0</v>
      </c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12">
        <f t="shared" si="6"/>
        <v>0</v>
      </c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12">
        <f t="shared" si="7"/>
        <v>0</v>
      </c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12">
        <f t="shared" si="8"/>
        <v>0</v>
      </c>
      <c r="BB45" s="9"/>
      <c r="BC45" s="9"/>
      <c r="BD45" s="9"/>
      <c r="BE45" s="9"/>
      <c r="BF45" s="9"/>
      <c r="BG45" s="9"/>
      <c r="BH45" s="9"/>
      <c r="BI45" s="9"/>
      <c r="BJ45" s="9"/>
      <c r="BK45" s="9"/>
      <c r="BL45" s="9"/>
      <c r="BM45" s="9"/>
      <c r="BN45" s="12">
        <f t="shared" si="9"/>
        <v>0</v>
      </c>
    </row>
    <row r="46" spans="1:66" ht="28.8" x14ac:dyDescent="0.3">
      <c r="A46" s="14" t="s">
        <v>207</v>
      </c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12">
        <f t="shared" si="5"/>
        <v>0</v>
      </c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12">
        <f t="shared" si="6"/>
        <v>0</v>
      </c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12">
        <f t="shared" si="7"/>
        <v>0</v>
      </c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12">
        <f t="shared" si="8"/>
        <v>0</v>
      </c>
      <c r="BB46" s="9"/>
      <c r="BC46" s="9"/>
      <c r="BD46" s="9"/>
      <c r="BE46" s="9"/>
      <c r="BF46" s="9"/>
      <c r="BG46" s="9"/>
      <c r="BH46" s="9"/>
      <c r="BI46" s="9"/>
      <c r="BJ46" s="9"/>
      <c r="BK46" s="9"/>
      <c r="BL46" s="9"/>
      <c r="BM46" s="9"/>
      <c r="BN46" s="12">
        <f t="shared" si="9"/>
        <v>0</v>
      </c>
    </row>
    <row r="47" spans="1:66" ht="72" x14ac:dyDescent="0.3">
      <c r="A47" s="14" t="s">
        <v>208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12">
        <f t="shared" si="5"/>
        <v>0</v>
      </c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12">
        <f t="shared" si="6"/>
        <v>0</v>
      </c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12">
        <f t="shared" si="7"/>
        <v>0</v>
      </c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12">
        <f t="shared" si="8"/>
        <v>0</v>
      </c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12">
        <f t="shared" si="9"/>
        <v>0</v>
      </c>
    </row>
    <row r="48" spans="1:66" ht="28.8" x14ac:dyDescent="0.3">
      <c r="A48" s="14" t="s">
        <v>209</v>
      </c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12">
        <f t="shared" si="5"/>
        <v>0</v>
      </c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12">
        <f t="shared" si="6"/>
        <v>0</v>
      </c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12">
        <f t="shared" si="7"/>
        <v>0</v>
      </c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12">
        <f t="shared" si="8"/>
        <v>0</v>
      </c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12">
        <f t="shared" si="9"/>
        <v>0</v>
      </c>
    </row>
    <row r="49" spans="1:66" ht="28.8" x14ac:dyDescent="0.3">
      <c r="A49" s="14" t="s">
        <v>210</v>
      </c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12">
        <f t="shared" si="5"/>
        <v>0</v>
      </c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12">
        <f t="shared" si="6"/>
        <v>0</v>
      </c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12">
        <f t="shared" si="7"/>
        <v>0</v>
      </c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12">
        <f t="shared" si="8"/>
        <v>0</v>
      </c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12">
        <f t="shared" si="9"/>
        <v>0</v>
      </c>
    </row>
    <row r="50" spans="1:66" ht="100.8" x14ac:dyDescent="0.3">
      <c r="A50" s="14" t="s">
        <v>211</v>
      </c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12">
        <f t="shared" si="5"/>
        <v>0</v>
      </c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12">
        <f t="shared" si="6"/>
        <v>0</v>
      </c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12">
        <f t="shared" si="7"/>
        <v>0</v>
      </c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12">
        <f t="shared" si="8"/>
        <v>0</v>
      </c>
      <c r="BB50" s="9"/>
      <c r="BC50" s="9"/>
      <c r="BD50" s="9"/>
      <c r="BE50" s="9"/>
      <c r="BF50" s="9"/>
      <c r="BG50" s="9"/>
      <c r="BH50" s="9"/>
      <c r="BI50" s="9"/>
      <c r="BJ50" s="9"/>
      <c r="BK50" s="9"/>
      <c r="BL50" s="9"/>
      <c r="BM50" s="9"/>
      <c r="BN50" s="12">
        <f t="shared" si="9"/>
        <v>0</v>
      </c>
    </row>
    <row r="51" spans="1:66" ht="86.4" x14ac:dyDescent="0.3">
      <c r="A51" s="14" t="s">
        <v>213</v>
      </c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12">
        <f t="shared" si="5"/>
        <v>0</v>
      </c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12">
        <f t="shared" si="6"/>
        <v>0</v>
      </c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12">
        <f t="shared" si="7"/>
        <v>0</v>
      </c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12">
        <f t="shared" si="8"/>
        <v>0</v>
      </c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12">
        <f t="shared" si="9"/>
        <v>0</v>
      </c>
    </row>
    <row r="52" spans="1:66" ht="43.2" x14ac:dyDescent="0.3">
      <c r="A52" s="14" t="s">
        <v>214</v>
      </c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12">
        <f t="shared" si="5"/>
        <v>0</v>
      </c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12">
        <f t="shared" si="6"/>
        <v>0</v>
      </c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12">
        <f t="shared" si="7"/>
        <v>0</v>
      </c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12">
        <f t="shared" si="8"/>
        <v>0</v>
      </c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12">
        <f t="shared" si="9"/>
        <v>0</v>
      </c>
    </row>
    <row r="53" spans="1:66" ht="72" x14ac:dyDescent="0.3">
      <c r="A53" s="14" t="s">
        <v>215</v>
      </c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12">
        <f t="shared" si="5"/>
        <v>0</v>
      </c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12">
        <f t="shared" si="6"/>
        <v>0</v>
      </c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12">
        <f t="shared" si="7"/>
        <v>0</v>
      </c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12">
        <f t="shared" si="8"/>
        <v>0</v>
      </c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12">
        <f t="shared" si="9"/>
        <v>0</v>
      </c>
    </row>
    <row r="54" spans="1:66" ht="28.8" x14ac:dyDescent="0.3">
      <c r="A54" s="14" t="s">
        <v>216</v>
      </c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12">
        <f t="shared" si="5"/>
        <v>0</v>
      </c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12">
        <f t="shared" si="6"/>
        <v>0</v>
      </c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12">
        <f t="shared" si="7"/>
        <v>0</v>
      </c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12">
        <f t="shared" si="8"/>
        <v>0</v>
      </c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12">
        <f t="shared" si="9"/>
        <v>0</v>
      </c>
    </row>
    <row r="55" spans="1:66" ht="28.8" x14ac:dyDescent="0.3">
      <c r="A55" s="14" t="s">
        <v>217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12">
        <f t="shared" si="5"/>
        <v>0</v>
      </c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12">
        <f t="shared" si="6"/>
        <v>0</v>
      </c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12">
        <f t="shared" si="7"/>
        <v>0</v>
      </c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12">
        <f t="shared" si="8"/>
        <v>0</v>
      </c>
      <c r="BB55" s="9"/>
      <c r="BC55" s="9"/>
      <c r="BD55" s="9"/>
      <c r="BE55" s="9"/>
      <c r="BF55" s="9"/>
      <c r="BG55" s="9"/>
      <c r="BH55" s="9"/>
      <c r="BI55" s="9"/>
      <c r="BJ55" s="9"/>
      <c r="BK55" s="9"/>
      <c r="BL55" s="9"/>
      <c r="BM55" s="9"/>
      <c r="BN55" s="12">
        <f t="shared" si="9"/>
        <v>0</v>
      </c>
    </row>
    <row r="56" spans="1:66" ht="28.8" x14ac:dyDescent="0.3">
      <c r="A56" s="14" t="s">
        <v>218</v>
      </c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12">
        <f t="shared" si="5"/>
        <v>0</v>
      </c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12">
        <f t="shared" si="6"/>
        <v>0</v>
      </c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12">
        <f t="shared" si="7"/>
        <v>0</v>
      </c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12">
        <f t="shared" si="8"/>
        <v>0</v>
      </c>
      <c r="BB56" s="9"/>
      <c r="BC56" s="9"/>
      <c r="BD56" s="9"/>
      <c r="BE56" s="9"/>
      <c r="BF56" s="9"/>
      <c r="BG56" s="9"/>
      <c r="BH56" s="9"/>
      <c r="BI56" s="9"/>
      <c r="BJ56" s="9"/>
      <c r="BK56" s="9"/>
      <c r="BL56" s="9"/>
      <c r="BM56" s="9"/>
      <c r="BN56" s="12">
        <f t="shared" si="9"/>
        <v>0</v>
      </c>
    </row>
    <row r="57" spans="1:66" ht="43.2" x14ac:dyDescent="0.3">
      <c r="A57" s="14" t="s">
        <v>219</v>
      </c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12">
        <f t="shared" si="5"/>
        <v>0</v>
      </c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12">
        <f t="shared" si="6"/>
        <v>0</v>
      </c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12">
        <f t="shared" si="7"/>
        <v>0</v>
      </c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12">
        <f t="shared" si="8"/>
        <v>0</v>
      </c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12">
        <f t="shared" si="9"/>
        <v>0</v>
      </c>
    </row>
    <row r="58" spans="1:66" ht="28.8" x14ac:dyDescent="0.3">
      <c r="A58" s="14" t="s">
        <v>220</v>
      </c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12">
        <f t="shared" si="5"/>
        <v>0</v>
      </c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12">
        <f t="shared" si="6"/>
        <v>0</v>
      </c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12">
        <f t="shared" si="7"/>
        <v>0</v>
      </c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12">
        <f t="shared" si="8"/>
        <v>0</v>
      </c>
      <c r="BB58" s="9"/>
      <c r="BC58" s="9"/>
      <c r="BD58" s="9"/>
      <c r="BE58" s="9"/>
      <c r="BF58" s="9"/>
      <c r="BG58" s="9"/>
      <c r="BH58" s="9"/>
      <c r="BI58" s="9"/>
      <c r="BJ58" s="9"/>
      <c r="BK58" s="9"/>
      <c r="BL58" s="9"/>
      <c r="BM58" s="9"/>
      <c r="BN58" s="12">
        <f t="shared" si="9"/>
        <v>0</v>
      </c>
    </row>
    <row r="59" spans="1:66" ht="100.8" x14ac:dyDescent="0.3">
      <c r="A59" s="14" t="s">
        <v>221</v>
      </c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12">
        <f t="shared" si="5"/>
        <v>0</v>
      </c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12">
        <f t="shared" si="6"/>
        <v>0</v>
      </c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12">
        <f t="shared" si="7"/>
        <v>0</v>
      </c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12">
        <f t="shared" si="8"/>
        <v>0</v>
      </c>
      <c r="BB59" s="9"/>
      <c r="BC59" s="9"/>
      <c r="BD59" s="9"/>
      <c r="BE59" s="9"/>
      <c r="BF59" s="9"/>
      <c r="BG59" s="9"/>
      <c r="BH59" s="9"/>
      <c r="BI59" s="9"/>
      <c r="BJ59" s="9"/>
      <c r="BK59" s="9"/>
      <c r="BL59" s="9"/>
      <c r="BM59" s="9"/>
      <c r="BN59" s="12">
        <f t="shared" si="9"/>
        <v>0</v>
      </c>
    </row>
    <row r="60" spans="1:66" ht="57.6" x14ac:dyDescent="0.3">
      <c r="A60" s="14" t="s">
        <v>222</v>
      </c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12">
        <f t="shared" si="5"/>
        <v>0</v>
      </c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12">
        <f t="shared" si="6"/>
        <v>0</v>
      </c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12">
        <f t="shared" si="7"/>
        <v>0</v>
      </c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12">
        <f t="shared" si="8"/>
        <v>0</v>
      </c>
      <c r="BB60" s="9"/>
      <c r="BC60" s="9"/>
      <c r="BD60" s="9"/>
      <c r="BE60" s="9"/>
      <c r="BF60" s="9"/>
      <c r="BG60" s="9"/>
      <c r="BH60" s="9"/>
      <c r="BI60" s="9"/>
      <c r="BJ60" s="9"/>
      <c r="BK60" s="9"/>
      <c r="BL60" s="9"/>
      <c r="BM60" s="9"/>
      <c r="BN60" s="12">
        <f t="shared" si="9"/>
        <v>0</v>
      </c>
    </row>
    <row r="61" spans="1:66" ht="43.2" x14ac:dyDescent="0.3">
      <c r="A61" s="13" t="s">
        <v>212</v>
      </c>
      <c r="B61" s="117">
        <f>SUM(B2:B60)</f>
        <v>18000000</v>
      </c>
      <c r="C61" s="13">
        <f t="shared" ref="C61:BN61" si="10">SUM(C2:C60)</f>
        <v>0</v>
      </c>
      <c r="D61" s="13">
        <f t="shared" si="10"/>
        <v>0</v>
      </c>
      <c r="E61" s="13">
        <f t="shared" si="10"/>
        <v>0</v>
      </c>
      <c r="F61" s="13">
        <f t="shared" si="10"/>
        <v>0</v>
      </c>
      <c r="G61" s="13">
        <f t="shared" si="10"/>
        <v>0</v>
      </c>
      <c r="H61" s="13">
        <f t="shared" si="10"/>
        <v>0</v>
      </c>
      <c r="I61" s="13">
        <f t="shared" si="10"/>
        <v>0</v>
      </c>
      <c r="J61" s="13">
        <f t="shared" si="10"/>
        <v>0</v>
      </c>
      <c r="K61" s="13">
        <f t="shared" si="10"/>
        <v>0</v>
      </c>
      <c r="L61" s="13">
        <f t="shared" si="10"/>
        <v>0</v>
      </c>
      <c r="M61" s="13">
        <f t="shared" si="10"/>
        <v>0</v>
      </c>
      <c r="N61" s="117">
        <f t="shared" si="10"/>
        <v>18000000</v>
      </c>
      <c r="O61" s="13">
        <f t="shared" si="10"/>
        <v>0</v>
      </c>
      <c r="P61" s="13">
        <f t="shared" si="10"/>
        <v>0</v>
      </c>
      <c r="Q61" s="13">
        <f t="shared" si="10"/>
        <v>0</v>
      </c>
      <c r="R61" s="13">
        <f t="shared" si="10"/>
        <v>0</v>
      </c>
      <c r="S61" s="13">
        <f t="shared" si="10"/>
        <v>0</v>
      </c>
      <c r="T61" s="13">
        <f t="shared" si="10"/>
        <v>0</v>
      </c>
      <c r="U61" s="13">
        <f t="shared" si="10"/>
        <v>0</v>
      </c>
      <c r="V61" s="13">
        <f t="shared" si="10"/>
        <v>0</v>
      </c>
      <c r="W61" s="13">
        <f t="shared" si="10"/>
        <v>0</v>
      </c>
      <c r="X61" s="13">
        <f t="shared" si="10"/>
        <v>0</v>
      </c>
      <c r="Y61" s="13">
        <f t="shared" si="10"/>
        <v>0</v>
      </c>
      <c r="Z61" s="13">
        <f t="shared" si="10"/>
        <v>0</v>
      </c>
      <c r="AA61" s="13">
        <f t="shared" si="10"/>
        <v>0</v>
      </c>
      <c r="AB61" s="13">
        <f t="shared" si="10"/>
        <v>0</v>
      </c>
      <c r="AC61" s="13">
        <f t="shared" si="10"/>
        <v>0</v>
      </c>
      <c r="AD61" s="13">
        <f t="shared" si="10"/>
        <v>0</v>
      </c>
      <c r="AE61" s="13">
        <f t="shared" si="10"/>
        <v>0</v>
      </c>
      <c r="AF61" s="13">
        <f t="shared" si="10"/>
        <v>0</v>
      </c>
      <c r="AG61" s="13">
        <f t="shared" si="10"/>
        <v>0</v>
      </c>
      <c r="AH61" s="13">
        <f t="shared" si="10"/>
        <v>0</v>
      </c>
      <c r="AI61" s="13">
        <f t="shared" si="10"/>
        <v>0</v>
      </c>
      <c r="AJ61" s="13">
        <f t="shared" si="10"/>
        <v>0</v>
      </c>
      <c r="AK61" s="13">
        <f t="shared" si="10"/>
        <v>0</v>
      </c>
      <c r="AL61" s="13">
        <f t="shared" si="10"/>
        <v>0</v>
      </c>
      <c r="AM61" s="13">
        <f t="shared" si="10"/>
        <v>0</v>
      </c>
      <c r="AN61" s="13">
        <f t="shared" si="10"/>
        <v>0</v>
      </c>
      <c r="AO61" s="13">
        <f t="shared" si="10"/>
        <v>0</v>
      </c>
      <c r="AP61" s="13">
        <f t="shared" si="10"/>
        <v>0</v>
      </c>
      <c r="AQ61" s="13">
        <f t="shared" si="10"/>
        <v>0</v>
      </c>
      <c r="AR61" s="13">
        <f t="shared" si="10"/>
        <v>0</v>
      </c>
      <c r="AS61" s="13">
        <f t="shared" si="10"/>
        <v>0</v>
      </c>
      <c r="AT61" s="13">
        <f t="shared" si="10"/>
        <v>0</v>
      </c>
      <c r="AU61" s="13">
        <f t="shared" si="10"/>
        <v>0</v>
      </c>
      <c r="AV61" s="13">
        <f t="shared" si="10"/>
        <v>0</v>
      </c>
      <c r="AW61" s="13">
        <f t="shared" si="10"/>
        <v>0</v>
      </c>
      <c r="AX61" s="13">
        <f t="shared" si="10"/>
        <v>0</v>
      </c>
      <c r="AY61" s="13">
        <f t="shared" si="10"/>
        <v>0</v>
      </c>
      <c r="AZ61" s="13">
        <f t="shared" si="10"/>
        <v>0</v>
      </c>
      <c r="BA61" s="13">
        <f t="shared" si="10"/>
        <v>0</v>
      </c>
      <c r="BB61" s="13">
        <f t="shared" si="10"/>
        <v>0</v>
      </c>
      <c r="BC61" s="13">
        <f t="shared" si="10"/>
        <v>0</v>
      </c>
      <c r="BD61" s="13">
        <f t="shared" si="10"/>
        <v>0</v>
      </c>
      <c r="BE61" s="13">
        <f t="shared" si="10"/>
        <v>0</v>
      </c>
      <c r="BF61" s="13">
        <f t="shared" si="10"/>
        <v>0</v>
      </c>
      <c r="BG61" s="13">
        <f t="shared" si="10"/>
        <v>0</v>
      </c>
      <c r="BH61" s="13">
        <f t="shared" si="10"/>
        <v>0</v>
      </c>
      <c r="BI61" s="13">
        <f t="shared" si="10"/>
        <v>0</v>
      </c>
      <c r="BJ61" s="13">
        <f t="shared" si="10"/>
        <v>0</v>
      </c>
      <c r="BK61" s="13">
        <f t="shared" si="10"/>
        <v>0</v>
      </c>
      <c r="BL61" s="13">
        <f t="shared" si="10"/>
        <v>0</v>
      </c>
      <c r="BM61" s="13">
        <f t="shared" si="10"/>
        <v>0</v>
      </c>
      <c r="BN61" s="13">
        <f t="shared" si="10"/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00"/>
  </sheetPr>
  <dimension ref="B2:N33"/>
  <sheetViews>
    <sheetView topLeftCell="A4" workbookViewId="0">
      <selection activeCell="G10" sqref="G10"/>
    </sheetView>
  </sheetViews>
  <sheetFormatPr baseColWidth="10" defaultRowHeight="14.4" x14ac:dyDescent="0.3"/>
  <cols>
    <col min="3" max="3" width="11.44140625" customWidth="1"/>
    <col min="5" max="6" width="11.44140625" customWidth="1"/>
  </cols>
  <sheetData>
    <row r="2" spans="2:14" s="3" customFormat="1" ht="15" customHeight="1" x14ac:dyDescent="0.3">
      <c r="B2" s="152" t="s">
        <v>230</v>
      </c>
      <c r="C2" s="152"/>
      <c r="D2" s="152"/>
      <c r="E2" s="152"/>
      <c r="F2" s="152"/>
      <c r="G2" s="152"/>
      <c r="I2" s="152" t="s">
        <v>233</v>
      </c>
      <c r="J2" s="152"/>
      <c r="K2" s="152"/>
      <c r="L2" s="152"/>
      <c r="M2" s="152"/>
      <c r="N2" s="152"/>
    </row>
    <row r="3" spans="2:14" s="3" customFormat="1" ht="43.2" x14ac:dyDescent="0.3">
      <c r="B3" s="5" t="s">
        <v>224</v>
      </c>
      <c r="C3" s="5" t="s">
        <v>225</v>
      </c>
      <c r="D3" s="5" t="s">
        <v>226</v>
      </c>
      <c r="E3" s="5" t="s">
        <v>227</v>
      </c>
      <c r="F3" s="5" t="s">
        <v>229</v>
      </c>
      <c r="G3" s="5" t="s">
        <v>228</v>
      </c>
      <c r="I3" s="5" t="s">
        <v>224</v>
      </c>
      <c r="J3" s="5" t="s">
        <v>225</v>
      </c>
      <c r="K3" s="5" t="s">
        <v>226</v>
      </c>
      <c r="L3" s="5" t="s">
        <v>227</v>
      </c>
      <c r="M3" s="5" t="s">
        <v>229</v>
      </c>
      <c r="N3" s="5" t="s">
        <v>228</v>
      </c>
    </row>
    <row r="4" spans="2:14" s="3" customFormat="1" x14ac:dyDescent="0.3">
      <c r="B4" s="8">
        <v>1</v>
      </c>
      <c r="C4" s="118">
        <f>SUM('Liste des investissements'!$N$2:$N$20)</f>
        <v>0</v>
      </c>
      <c r="D4" s="15">
        <v>0.2</v>
      </c>
      <c r="E4" s="118">
        <f>C4*D4</f>
        <v>0</v>
      </c>
      <c r="F4" s="8">
        <f>E4</f>
        <v>0</v>
      </c>
      <c r="G4" s="8">
        <f>C4-F4</f>
        <v>0</v>
      </c>
      <c r="I4" s="8">
        <v>1</v>
      </c>
      <c r="J4" s="8">
        <f>'Liste des investissements'!$N$41</f>
        <v>0</v>
      </c>
      <c r="K4" s="15">
        <v>0.05</v>
      </c>
      <c r="L4" s="8">
        <f>J4*K4</f>
        <v>0</v>
      </c>
      <c r="M4" s="8">
        <f>L4</f>
        <v>0</v>
      </c>
      <c r="N4" s="8">
        <f>J4-M4</f>
        <v>0</v>
      </c>
    </row>
    <row r="5" spans="2:14" s="3" customFormat="1" x14ac:dyDescent="0.3">
      <c r="B5" s="8">
        <v>2</v>
      </c>
      <c r="C5" s="118">
        <f>SUM('Liste des investissements'!$N$2:$N$20)</f>
        <v>0</v>
      </c>
      <c r="D5" s="15">
        <v>0.2</v>
      </c>
      <c r="E5" s="118">
        <f>C5*D5</f>
        <v>0</v>
      </c>
      <c r="F5" s="8">
        <f>F4+E5</f>
        <v>0</v>
      </c>
      <c r="G5" s="8">
        <f>C5-F5</f>
        <v>0</v>
      </c>
      <c r="I5" s="8">
        <v>2</v>
      </c>
      <c r="J5" s="8">
        <f>'Liste des investissements'!$N$41</f>
        <v>0</v>
      </c>
      <c r="K5" s="15">
        <v>0.05</v>
      </c>
      <c r="L5" s="8">
        <f>J5*K5</f>
        <v>0</v>
      </c>
      <c r="M5" s="8">
        <f>M4+L5</f>
        <v>0</v>
      </c>
      <c r="N5" s="8">
        <f>J5-M5</f>
        <v>0</v>
      </c>
    </row>
    <row r="6" spans="2:14" s="3" customFormat="1" x14ac:dyDescent="0.3">
      <c r="B6" s="8">
        <v>3</v>
      </c>
      <c r="C6" s="118">
        <f>SUM('Liste des investissements'!$N$2:$N$20)</f>
        <v>0</v>
      </c>
      <c r="D6" s="15">
        <v>0.2</v>
      </c>
      <c r="E6" s="118">
        <f>C6*D6</f>
        <v>0</v>
      </c>
      <c r="F6" s="8">
        <f>F5+E6</f>
        <v>0</v>
      </c>
      <c r="G6" s="8">
        <f>C6-F6</f>
        <v>0</v>
      </c>
      <c r="I6" s="8">
        <v>3</v>
      </c>
      <c r="J6" s="8">
        <f>'Liste des investissements'!$N$41</f>
        <v>0</v>
      </c>
      <c r="K6" s="15">
        <v>0.05</v>
      </c>
      <c r="L6" s="8">
        <f>J6*K6</f>
        <v>0</v>
      </c>
      <c r="M6" s="8">
        <f>M5+L6</f>
        <v>0</v>
      </c>
      <c r="N6" s="8">
        <f>J6-M6</f>
        <v>0</v>
      </c>
    </row>
    <row r="7" spans="2:14" s="3" customFormat="1" x14ac:dyDescent="0.3">
      <c r="B7" s="8">
        <v>4</v>
      </c>
      <c r="C7" s="118">
        <f>SUM('Liste des investissements'!$N$2:$N$20)</f>
        <v>0</v>
      </c>
      <c r="D7" s="15">
        <v>0.2</v>
      </c>
      <c r="E7" s="118">
        <f>C7*D7</f>
        <v>0</v>
      </c>
      <c r="F7" s="8">
        <f>F6+E7</f>
        <v>0</v>
      </c>
      <c r="G7" s="8">
        <f>C7-F7</f>
        <v>0</v>
      </c>
      <c r="I7" s="8">
        <v>4</v>
      </c>
      <c r="J7" s="8">
        <f>'Liste des investissements'!$N$41</f>
        <v>0</v>
      </c>
      <c r="K7" s="15">
        <v>0.05</v>
      </c>
      <c r="L7" s="8">
        <f>J7*K7</f>
        <v>0</v>
      </c>
      <c r="M7" s="8">
        <f>M6+L7</f>
        <v>0</v>
      </c>
      <c r="N7" s="8">
        <f>J7-M7</f>
        <v>0</v>
      </c>
    </row>
    <row r="8" spans="2:14" s="3" customFormat="1" x14ac:dyDescent="0.3">
      <c r="B8" s="8">
        <v>5</v>
      </c>
      <c r="C8" s="118">
        <f>SUM('Liste des investissements'!$N$2:$N$20)</f>
        <v>0</v>
      </c>
      <c r="D8" s="15">
        <v>0.2</v>
      </c>
      <c r="E8" s="118">
        <f>C8*D8</f>
        <v>0</v>
      </c>
      <c r="F8" s="8">
        <f>F7+E8</f>
        <v>0</v>
      </c>
      <c r="G8" s="8">
        <f>C8-F8</f>
        <v>0</v>
      </c>
      <c r="I8" s="8">
        <v>5</v>
      </c>
      <c r="J8" s="8">
        <f>'Liste des investissements'!$N$41</f>
        <v>0</v>
      </c>
      <c r="K8" s="15">
        <v>0.05</v>
      </c>
      <c r="L8" s="8">
        <f t="shared" ref="L8:L13" si="0">J8*K8</f>
        <v>0</v>
      </c>
      <c r="M8" s="8">
        <f>M7+L8</f>
        <v>0</v>
      </c>
      <c r="N8" s="8">
        <f>J8-M8</f>
        <v>0</v>
      </c>
    </row>
    <row r="9" spans="2:14" s="3" customFormat="1" x14ac:dyDescent="0.3">
      <c r="I9" s="8">
        <v>6</v>
      </c>
      <c r="J9" s="8">
        <f>'Liste des investissements'!$N$41</f>
        <v>0</v>
      </c>
      <c r="K9" s="15">
        <v>0.05</v>
      </c>
      <c r="L9" s="8">
        <f t="shared" si="0"/>
        <v>0</v>
      </c>
      <c r="M9" s="8">
        <f t="shared" ref="M9:M13" si="1">M8+L9</f>
        <v>0</v>
      </c>
      <c r="N9" s="8">
        <f t="shared" ref="N9:N13" si="2">J9-M9</f>
        <v>0</v>
      </c>
    </row>
    <row r="10" spans="2:14" s="3" customFormat="1" x14ac:dyDescent="0.3">
      <c r="I10" s="8">
        <v>7</v>
      </c>
      <c r="J10" s="8">
        <f>'Liste des investissements'!$N$41</f>
        <v>0</v>
      </c>
      <c r="K10" s="15">
        <v>0.05</v>
      </c>
      <c r="L10" s="8">
        <f t="shared" si="0"/>
        <v>0</v>
      </c>
      <c r="M10" s="8">
        <f t="shared" si="1"/>
        <v>0</v>
      </c>
      <c r="N10" s="8">
        <f t="shared" si="2"/>
        <v>0</v>
      </c>
    </row>
    <row r="11" spans="2:14" s="3" customFormat="1" x14ac:dyDescent="0.3">
      <c r="I11" s="8">
        <v>8</v>
      </c>
      <c r="J11" s="8">
        <f>'Liste des investissements'!$N$41</f>
        <v>0</v>
      </c>
      <c r="K11" s="15">
        <v>0.05</v>
      </c>
      <c r="L11" s="8">
        <f t="shared" si="0"/>
        <v>0</v>
      </c>
      <c r="M11" s="8">
        <f t="shared" si="1"/>
        <v>0</v>
      </c>
      <c r="N11" s="8">
        <f t="shared" si="2"/>
        <v>0</v>
      </c>
    </row>
    <row r="12" spans="2:14" s="3" customFormat="1" x14ac:dyDescent="0.3">
      <c r="B12" s="152" t="s">
        <v>231</v>
      </c>
      <c r="C12" s="152"/>
      <c r="D12" s="152"/>
      <c r="E12" s="152"/>
      <c r="F12" s="152"/>
      <c r="G12" s="152"/>
      <c r="I12" s="8">
        <v>9</v>
      </c>
      <c r="J12" s="8">
        <f>'Liste des investissements'!$N$41</f>
        <v>0</v>
      </c>
      <c r="K12" s="15">
        <v>0.05</v>
      </c>
      <c r="L12" s="8">
        <f t="shared" si="0"/>
        <v>0</v>
      </c>
      <c r="M12" s="8">
        <f t="shared" si="1"/>
        <v>0</v>
      </c>
      <c r="N12" s="8">
        <f t="shared" si="2"/>
        <v>0</v>
      </c>
    </row>
    <row r="13" spans="2:14" s="3" customFormat="1" ht="43.2" x14ac:dyDescent="0.3">
      <c r="B13" s="5" t="s">
        <v>224</v>
      </c>
      <c r="C13" s="5" t="s">
        <v>225</v>
      </c>
      <c r="D13" s="5" t="s">
        <v>226</v>
      </c>
      <c r="E13" s="5" t="s">
        <v>227</v>
      </c>
      <c r="F13" s="5" t="s">
        <v>229</v>
      </c>
      <c r="G13" s="5" t="s">
        <v>228</v>
      </c>
      <c r="I13" s="8">
        <v>10</v>
      </c>
      <c r="J13" s="8">
        <f>'Liste des investissements'!$N$41</f>
        <v>0</v>
      </c>
      <c r="K13" s="15">
        <v>0.05</v>
      </c>
      <c r="L13" s="8">
        <f t="shared" si="0"/>
        <v>0</v>
      </c>
      <c r="M13" s="8">
        <f t="shared" si="1"/>
        <v>0</v>
      </c>
      <c r="N13" s="8">
        <f t="shared" si="2"/>
        <v>0</v>
      </c>
    </row>
    <row r="14" spans="2:14" s="3" customFormat="1" x14ac:dyDescent="0.3">
      <c r="B14" s="8">
        <v>1</v>
      </c>
      <c r="C14" s="8">
        <f>SUM('Liste des investissements'!$N$30:$N$37)</f>
        <v>1000000</v>
      </c>
      <c r="D14" s="15">
        <v>0.05</v>
      </c>
      <c r="E14" s="8">
        <f>C14*D14</f>
        <v>50000</v>
      </c>
      <c r="F14" s="8">
        <f>E14</f>
        <v>50000</v>
      </c>
      <c r="G14" s="8">
        <f>C14-F14</f>
        <v>950000</v>
      </c>
    </row>
    <row r="15" spans="2:14" s="3" customFormat="1" x14ac:dyDescent="0.3">
      <c r="B15" s="8">
        <v>2</v>
      </c>
      <c r="C15" s="8">
        <f>SUM('Liste des investissements'!$N$30:$N$37)</f>
        <v>1000000</v>
      </c>
      <c r="D15" s="15">
        <v>0.05</v>
      </c>
      <c r="E15" s="8">
        <f>C15*D15</f>
        <v>50000</v>
      </c>
      <c r="F15" s="8">
        <f>F14+E15</f>
        <v>100000</v>
      </c>
      <c r="G15" s="8">
        <f>C15-F15</f>
        <v>900000</v>
      </c>
    </row>
    <row r="16" spans="2:14" s="3" customFormat="1" ht="35.25" customHeight="1" x14ac:dyDescent="0.3">
      <c r="B16" s="8">
        <v>3</v>
      </c>
      <c r="C16" s="8">
        <f>SUM('Liste des investissements'!$N$30:$N$37)</f>
        <v>1000000</v>
      </c>
      <c r="D16" s="15">
        <v>0.05</v>
      </c>
      <c r="E16" s="8">
        <f>C16*D16</f>
        <v>50000</v>
      </c>
      <c r="F16" s="8">
        <f>F15+E16</f>
        <v>150000</v>
      </c>
      <c r="G16" s="8">
        <f>C16-F16</f>
        <v>850000</v>
      </c>
      <c r="I16" s="153" t="s">
        <v>234</v>
      </c>
      <c r="J16" s="154"/>
      <c r="K16" s="154"/>
      <c r="L16" s="154"/>
      <c r="M16" s="154"/>
      <c r="N16" s="155"/>
    </row>
    <row r="17" spans="2:14" s="3" customFormat="1" ht="43.2" x14ac:dyDescent="0.3">
      <c r="B17" s="8">
        <v>4</v>
      </c>
      <c r="C17" s="8">
        <f>SUM('Liste des investissements'!$N$30:$N$37)</f>
        <v>1000000</v>
      </c>
      <c r="D17" s="15">
        <v>0.05</v>
      </c>
      <c r="E17" s="8">
        <f>C17*D17</f>
        <v>50000</v>
      </c>
      <c r="F17" s="8">
        <f>F16+E17</f>
        <v>200000</v>
      </c>
      <c r="G17" s="8">
        <f>C17-F17</f>
        <v>800000</v>
      </c>
      <c r="I17" s="5" t="s">
        <v>224</v>
      </c>
      <c r="J17" s="5" t="s">
        <v>225</v>
      </c>
      <c r="K17" s="5" t="s">
        <v>226</v>
      </c>
      <c r="L17" s="5" t="s">
        <v>227</v>
      </c>
      <c r="M17" s="5" t="s">
        <v>229</v>
      </c>
      <c r="N17" s="5" t="s">
        <v>228</v>
      </c>
    </row>
    <row r="18" spans="2:14" s="3" customFormat="1" x14ac:dyDescent="0.3">
      <c r="B18" s="8">
        <v>5</v>
      </c>
      <c r="C18" s="8">
        <f>SUM('Liste des investissements'!$N$30:$N$37)</f>
        <v>1000000</v>
      </c>
      <c r="D18" s="15">
        <v>0.05</v>
      </c>
      <c r="E18" s="8">
        <f t="shared" ref="E18:E33" si="3">C18*D18</f>
        <v>50000</v>
      </c>
      <c r="F18" s="8">
        <f>F17+E18</f>
        <v>250000</v>
      </c>
      <c r="G18" s="8">
        <f>C18-F18</f>
        <v>750000</v>
      </c>
      <c r="I18" s="8">
        <v>1</v>
      </c>
      <c r="J18" s="8">
        <f>SUM('Liste des investissements'!$N$38:$N$40)+SUM('Liste des investissements'!$N$42:$N$49)</f>
        <v>17000000</v>
      </c>
      <c r="K18" s="15">
        <v>0.2</v>
      </c>
      <c r="L18" s="8">
        <f>J18*K18</f>
        <v>3400000</v>
      </c>
      <c r="M18" s="8">
        <f>L18</f>
        <v>3400000</v>
      </c>
      <c r="N18" s="8">
        <f>J18-M18</f>
        <v>13600000</v>
      </c>
    </row>
    <row r="19" spans="2:14" s="3" customFormat="1" x14ac:dyDescent="0.3">
      <c r="B19" s="8">
        <v>6</v>
      </c>
      <c r="C19" s="8">
        <f>SUM('Liste des investissements'!$N$30:$N$37)</f>
        <v>1000000</v>
      </c>
      <c r="D19" s="15">
        <v>0.05</v>
      </c>
      <c r="E19" s="8">
        <f t="shared" si="3"/>
        <v>50000</v>
      </c>
      <c r="F19" s="8">
        <f t="shared" ref="F19:F33" si="4">F18+E19</f>
        <v>300000</v>
      </c>
      <c r="G19" s="8">
        <f t="shared" ref="G19:G33" si="5">C19-F19</f>
        <v>700000</v>
      </c>
      <c r="I19" s="8">
        <v>2</v>
      </c>
      <c r="J19" s="8">
        <f>SUM('Liste des investissements'!$N$38:$N$40)+SUM('Liste des investissements'!$N$42:$N$49)</f>
        <v>17000000</v>
      </c>
      <c r="K19" s="15">
        <v>0.2</v>
      </c>
      <c r="L19" s="8">
        <f>J19*K19</f>
        <v>3400000</v>
      </c>
      <c r="M19" s="8">
        <f>M18+L19</f>
        <v>6800000</v>
      </c>
      <c r="N19" s="8">
        <f>J19-M19</f>
        <v>10200000</v>
      </c>
    </row>
    <row r="20" spans="2:14" s="3" customFormat="1" x14ac:dyDescent="0.3">
      <c r="B20" s="8">
        <v>7</v>
      </c>
      <c r="C20" s="8">
        <f>SUM('Liste des investissements'!$N$30:$N$37)</f>
        <v>1000000</v>
      </c>
      <c r="D20" s="15">
        <v>0.05</v>
      </c>
      <c r="E20" s="8">
        <f t="shared" si="3"/>
        <v>50000</v>
      </c>
      <c r="F20" s="8">
        <f t="shared" si="4"/>
        <v>350000</v>
      </c>
      <c r="G20" s="8">
        <f t="shared" si="5"/>
        <v>650000</v>
      </c>
      <c r="I20" s="8">
        <v>3</v>
      </c>
      <c r="J20" s="8">
        <f>SUM('Liste des investissements'!$N$38:$N$40)+SUM('Liste des investissements'!$N$42:$N$49)</f>
        <v>17000000</v>
      </c>
      <c r="K20" s="15">
        <v>0.2</v>
      </c>
      <c r="L20" s="8">
        <f>J20*K20</f>
        <v>3400000</v>
      </c>
      <c r="M20" s="8">
        <f>M19+L20</f>
        <v>10200000</v>
      </c>
      <c r="N20" s="8">
        <f>J20-M20</f>
        <v>6800000</v>
      </c>
    </row>
    <row r="21" spans="2:14" s="3" customFormat="1" x14ac:dyDescent="0.3">
      <c r="B21" s="8">
        <v>8</v>
      </c>
      <c r="C21" s="8">
        <f>SUM('Liste des investissements'!$N$30:$N$37)</f>
        <v>1000000</v>
      </c>
      <c r="D21" s="15">
        <v>0.05</v>
      </c>
      <c r="E21" s="8">
        <f t="shared" si="3"/>
        <v>50000</v>
      </c>
      <c r="F21" s="8">
        <f t="shared" si="4"/>
        <v>400000</v>
      </c>
      <c r="G21" s="8">
        <f t="shared" si="5"/>
        <v>600000</v>
      </c>
      <c r="I21" s="8">
        <v>4</v>
      </c>
      <c r="J21" s="8">
        <f>SUM('Liste des investissements'!$N$38:$N$40)+SUM('Liste des investissements'!$N$42:$N$49)</f>
        <v>17000000</v>
      </c>
      <c r="K21" s="15">
        <v>0.2</v>
      </c>
      <c r="L21" s="8">
        <f>J21*K21</f>
        <v>3400000</v>
      </c>
      <c r="M21" s="8">
        <f>M20+L21</f>
        <v>13600000</v>
      </c>
      <c r="N21" s="8">
        <f>J21-M21</f>
        <v>3400000</v>
      </c>
    </row>
    <row r="22" spans="2:14" s="3" customFormat="1" x14ac:dyDescent="0.3">
      <c r="B22" s="8">
        <v>9</v>
      </c>
      <c r="C22" s="8">
        <f>SUM('Liste des investissements'!$N$30:$N$37)</f>
        <v>1000000</v>
      </c>
      <c r="D22" s="15">
        <v>0.05</v>
      </c>
      <c r="E22" s="8">
        <f t="shared" si="3"/>
        <v>50000</v>
      </c>
      <c r="F22" s="8">
        <f t="shared" si="4"/>
        <v>450000</v>
      </c>
      <c r="G22" s="8">
        <f t="shared" si="5"/>
        <v>550000</v>
      </c>
      <c r="I22" s="8">
        <v>5</v>
      </c>
      <c r="J22" s="8">
        <f>SUM('Liste des investissements'!$N$38:$N$40)+SUM('Liste des investissements'!$N$42:$N$49)</f>
        <v>17000000</v>
      </c>
      <c r="K22" s="15">
        <v>0.2</v>
      </c>
      <c r="L22" s="8">
        <f>J22*K22</f>
        <v>3400000</v>
      </c>
      <c r="M22" s="8">
        <f>M21+L22</f>
        <v>17000000</v>
      </c>
      <c r="N22" s="8">
        <f>J22-M22</f>
        <v>0</v>
      </c>
    </row>
    <row r="23" spans="2:14" s="3" customFormat="1" x14ac:dyDescent="0.3">
      <c r="B23" s="8">
        <v>10</v>
      </c>
      <c r="C23" s="8">
        <f>SUM('Liste des investissements'!$N$30:$N$37)</f>
        <v>1000000</v>
      </c>
      <c r="D23" s="15">
        <v>0.05</v>
      </c>
      <c r="E23" s="8">
        <f t="shared" si="3"/>
        <v>50000</v>
      </c>
      <c r="F23" s="8">
        <f t="shared" si="4"/>
        <v>500000</v>
      </c>
      <c r="G23" s="8">
        <f t="shared" si="5"/>
        <v>500000</v>
      </c>
    </row>
    <row r="24" spans="2:14" s="3" customFormat="1" x14ac:dyDescent="0.3">
      <c r="B24" s="8">
        <v>11</v>
      </c>
      <c r="C24" s="8">
        <f>SUM('Liste des investissements'!$N$30:$N$37)</f>
        <v>1000000</v>
      </c>
      <c r="D24" s="15">
        <v>0.05</v>
      </c>
      <c r="E24" s="8">
        <f t="shared" si="3"/>
        <v>50000</v>
      </c>
      <c r="F24" s="8">
        <f t="shared" si="4"/>
        <v>550000</v>
      </c>
      <c r="G24" s="8">
        <f t="shared" si="5"/>
        <v>450000</v>
      </c>
    </row>
    <row r="25" spans="2:14" s="3" customFormat="1" x14ac:dyDescent="0.3">
      <c r="B25" s="8">
        <v>12</v>
      </c>
      <c r="C25" s="8">
        <f>SUM('Liste des investissements'!$N$30:$N$37)</f>
        <v>1000000</v>
      </c>
      <c r="D25" s="15">
        <v>0.05</v>
      </c>
      <c r="E25" s="8">
        <f t="shared" si="3"/>
        <v>50000</v>
      </c>
      <c r="F25" s="8">
        <f t="shared" si="4"/>
        <v>600000</v>
      </c>
      <c r="G25" s="8">
        <f t="shared" si="5"/>
        <v>400000</v>
      </c>
    </row>
    <row r="26" spans="2:14" x14ac:dyDescent="0.3">
      <c r="B26" s="8">
        <v>13</v>
      </c>
      <c r="C26" s="8">
        <f>SUM('Liste des investissements'!$N$30:$N$37)</f>
        <v>1000000</v>
      </c>
      <c r="D26" s="15">
        <v>0.05</v>
      </c>
      <c r="E26" s="8">
        <f t="shared" si="3"/>
        <v>50000</v>
      </c>
      <c r="F26" s="8">
        <f t="shared" si="4"/>
        <v>650000</v>
      </c>
      <c r="G26" s="8">
        <f t="shared" si="5"/>
        <v>350000</v>
      </c>
    </row>
    <row r="27" spans="2:14" x14ac:dyDescent="0.3">
      <c r="B27" s="8">
        <v>14</v>
      </c>
      <c r="C27" s="8">
        <f>SUM('Liste des investissements'!$N$30:$N$37)</f>
        <v>1000000</v>
      </c>
      <c r="D27" s="15">
        <v>0.05</v>
      </c>
      <c r="E27" s="8">
        <f t="shared" si="3"/>
        <v>50000</v>
      </c>
      <c r="F27" s="8">
        <f t="shared" si="4"/>
        <v>700000</v>
      </c>
      <c r="G27" s="8">
        <f t="shared" si="5"/>
        <v>300000</v>
      </c>
    </row>
    <row r="28" spans="2:14" x14ac:dyDescent="0.3">
      <c r="B28" s="8">
        <v>15</v>
      </c>
      <c r="C28" s="8">
        <f>SUM('Liste des investissements'!$N$30:$N$37)</f>
        <v>1000000</v>
      </c>
      <c r="D28" s="15">
        <v>0.05</v>
      </c>
      <c r="E28" s="8">
        <f t="shared" si="3"/>
        <v>50000</v>
      </c>
      <c r="F28" s="8">
        <f t="shared" si="4"/>
        <v>750000</v>
      </c>
      <c r="G28" s="8">
        <f t="shared" si="5"/>
        <v>250000</v>
      </c>
    </row>
    <row r="29" spans="2:14" x14ac:dyDescent="0.3">
      <c r="B29" s="8">
        <v>16</v>
      </c>
      <c r="C29" s="8">
        <f>SUM('Liste des investissements'!$N$30:$N$37)</f>
        <v>1000000</v>
      </c>
      <c r="D29" s="15">
        <v>0.05</v>
      </c>
      <c r="E29" s="8">
        <f t="shared" si="3"/>
        <v>50000</v>
      </c>
      <c r="F29" s="8">
        <f t="shared" si="4"/>
        <v>800000</v>
      </c>
      <c r="G29" s="8">
        <f t="shared" si="5"/>
        <v>200000</v>
      </c>
    </row>
    <row r="30" spans="2:14" x14ac:dyDescent="0.3">
      <c r="B30" s="8">
        <v>17</v>
      </c>
      <c r="C30" s="8">
        <f>SUM('Liste des investissements'!$N$30:$N$37)</f>
        <v>1000000</v>
      </c>
      <c r="D30" s="15">
        <v>0.05</v>
      </c>
      <c r="E30" s="8">
        <f t="shared" si="3"/>
        <v>50000</v>
      </c>
      <c r="F30" s="8">
        <f t="shared" si="4"/>
        <v>850000</v>
      </c>
      <c r="G30" s="8">
        <f t="shared" si="5"/>
        <v>150000</v>
      </c>
    </row>
    <row r="31" spans="2:14" x14ac:dyDescent="0.3">
      <c r="B31" s="8">
        <v>18</v>
      </c>
      <c r="C31" s="8">
        <f>SUM('Liste des investissements'!$N$30:$N$37)</f>
        <v>1000000</v>
      </c>
      <c r="D31" s="15">
        <v>0.05</v>
      </c>
      <c r="E31" s="8">
        <f t="shared" si="3"/>
        <v>50000</v>
      </c>
      <c r="F31" s="8">
        <f t="shared" si="4"/>
        <v>900000</v>
      </c>
      <c r="G31" s="8">
        <f t="shared" si="5"/>
        <v>100000</v>
      </c>
    </row>
    <row r="32" spans="2:14" x14ac:dyDescent="0.3">
      <c r="B32" s="8">
        <v>19</v>
      </c>
      <c r="C32" s="8">
        <f>SUM('Liste des investissements'!$N$30:$N$37)</f>
        <v>1000000</v>
      </c>
      <c r="D32" s="15">
        <v>0.05</v>
      </c>
      <c r="E32" s="8">
        <f t="shared" si="3"/>
        <v>50000</v>
      </c>
      <c r="F32" s="8">
        <f t="shared" si="4"/>
        <v>950000</v>
      </c>
      <c r="G32" s="8">
        <f t="shared" si="5"/>
        <v>50000</v>
      </c>
    </row>
    <row r="33" spans="2:7" x14ac:dyDescent="0.3">
      <c r="B33" s="8">
        <v>20</v>
      </c>
      <c r="C33" s="8">
        <f>SUM('Liste des investissements'!$N$30:$N$37)</f>
        <v>1000000</v>
      </c>
      <c r="D33" s="15">
        <v>0.05</v>
      </c>
      <c r="E33" s="8">
        <f t="shared" si="3"/>
        <v>50000</v>
      </c>
      <c r="F33" s="8">
        <f t="shared" si="4"/>
        <v>1000000</v>
      </c>
      <c r="G33" s="8">
        <f t="shared" si="5"/>
        <v>0</v>
      </c>
    </row>
  </sheetData>
  <mergeCells count="4">
    <mergeCell ref="I2:N2"/>
    <mergeCell ref="I16:N16"/>
    <mergeCell ref="B2:G2"/>
    <mergeCell ref="B12:G12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0000"/>
  </sheetPr>
  <dimension ref="A1:N45"/>
  <sheetViews>
    <sheetView workbookViewId="0">
      <pane xSplit="7" ySplit="4" topLeftCell="H5" activePane="bottomRight" state="frozen"/>
      <selection pane="topRight" activeCell="H1" sqref="H1"/>
      <selection pane="bottomLeft" activeCell="A5" sqref="A5"/>
      <selection pane="bottomRight" activeCell="N5" sqref="N5"/>
    </sheetView>
  </sheetViews>
  <sheetFormatPr baseColWidth="10" defaultRowHeight="14.4" x14ac:dyDescent="0.3"/>
  <cols>
    <col min="1" max="1" width="12.6640625" customWidth="1"/>
    <col min="2" max="13" width="11.6640625" bestFit="1" customWidth="1"/>
    <col min="14" max="14" width="15.33203125" bestFit="1" customWidth="1"/>
  </cols>
  <sheetData>
    <row r="1" spans="1:14" x14ac:dyDescent="0.3">
      <c r="A1" s="2"/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7" t="s">
        <v>12</v>
      </c>
    </row>
    <row r="2" spans="1:14" ht="28.8" x14ac:dyDescent="0.3">
      <c r="A2" s="14" t="s">
        <v>120</v>
      </c>
      <c r="B2" s="9">
        <f>'Charges variables'!B2</f>
        <v>0</v>
      </c>
      <c r="C2" s="9">
        <f>'Charges variables'!C2</f>
        <v>0</v>
      </c>
      <c r="D2" s="9">
        <f>'Charges variables'!D2</f>
        <v>0</v>
      </c>
      <c r="E2" s="9">
        <f>'Charges variables'!E2</f>
        <v>0</v>
      </c>
      <c r="F2" s="9">
        <f>'Charges variables'!F2</f>
        <v>0</v>
      </c>
      <c r="G2" s="9">
        <f>'Charges variables'!G2</f>
        <v>0</v>
      </c>
      <c r="H2" s="9">
        <f>'Charges variables'!H2</f>
        <v>0</v>
      </c>
      <c r="I2" s="9">
        <f>'Charges variables'!I2</f>
        <v>0</v>
      </c>
      <c r="J2" s="9">
        <f>'Charges variables'!J2</f>
        <v>0</v>
      </c>
      <c r="K2" s="9">
        <f>'Charges variables'!K2</f>
        <v>0</v>
      </c>
      <c r="L2" s="9">
        <f>'Charges variables'!L2</f>
        <v>0</v>
      </c>
      <c r="M2" s="9">
        <f>'Charges variables'!M2</f>
        <v>0</v>
      </c>
      <c r="N2" s="13">
        <f>SUM(B2:M2)</f>
        <v>0</v>
      </c>
    </row>
    <row r="3" spans="1:14" ht="43.2" x14ac:dyDescent="0.3">
      <c r="A3" s="14" t="s">
        <v>123</v>
      </c>
      <c r="B3" s="9">
        <f>'Charges variables'!B3</f>
        <v>0</v>
      </c>
      <c r="C3" s="9">
        <f>'Charges variables'!C3</f>
        <v>0</v>
      </c>
      <c r="D3" s="9">
        <f>'Charges variables'!D3</f>
        <v>0</v>
      </c>
      <c r="E3" s="9">
        <f>'Charges variables'!E3</f>
        <v>0</v>
      </c>
      <c r="F3" s="9">
        <f>'Charges variables'!F3</f>
        <v>0</v>
      </c>
      <c r="G3" s="9">
        <f>'Charges variables'!G3</f>
        <v>0</v>
      </c>
      <c r="H3" s="9">
        <f>'Charges variables'!H3</f>
        <v>0</v>
      </c>
      <c r="I3" s="9">
        <f>'Charges variables'!I3</f>
        <v>0</v>
      </c>
      <c r="J3" s="9">
        <f>'Charges variables'!J3</f>
        <v>0</v>
      </c>
      <c r="K3" s="9">
        <f>'Charges variables'!K3</f>
        <v>0</v>
      </c>
      <c r="L3" s="9">
        <f>'Charges variables'!L3</f>
        <v>0</v>
      </c>
      <c r="M3" s="9">
        <f>'Charges variables'!M3</f>
        <v>0</v>
      </c>
      <c r="N3" s="13">
        <f>SUM(B3:M3)</f>
        <v>0</v>
      </c>
    </row>
    <row r="4" spans="1:14" ht="86.4" x14ac:dyDescent="0.3">
      <c r="A4" s="14" t="s">
        <v>127</v>
      </c>
      <c r="B4" s="9">
        <f>'Charges variables'!B4</f>
        <v>0</v>
      </c>
      <c r="C4" s="9">
        <f>'Charges variables'!C4</f>
        <v>0</v>
      </c>
      <c r="D4" s="9">
        <f>'Charges variables'!D4</f>
        <v>0</v>
      </c>
      <c r="E4" s="9">
        <f>'Charges variables'!E4</f>
        <v>0</v>
      </c>
      <c r="F4" s="9">
        <f>'Charges variables'!F4</f>
        <v>0</v>
      </c>
      <c r="G4" s="9">
        <f>'Charges variables'!G4</f>
        <v>0</v>
      </c>
      <c r="H4" s="9">
        <f>'Charges variables'!H4</f>
        <v>0</v>
      </c>
      <c r="I4" s="9">
        <f>'Charges variables'!I4</f>
        <v>0</v>
      </c>
      <c r="J4" s="9">
        <f>'Charges variables'!J4</f>
        <v>0</v>
      </c>
      <c r="K4" s="9">
        <f>'Charges variables'!K4</f>
        <v>0</v>
      </c>
      <c r="L4" s="9">
        <f>'Charges variables'!L4</f>
        <v>0</v>
      </c>
      <c r="M4" s="9">
        <f>'Charges variables'!M4</f>
        <v>0</v>
      </c>
      <c r="N4" s="13">
        <f>SUM(B4:M4)</f>
        <v>0</v>
      </c>
    </row>
    <row r="5" spans="1:14" ht="72" x14ac:dyDescent="0.3">
      <c r="A5" s="13" t="s">
        <v>235</v>
      </c>
      <c r="B5" s="12">
        <f>SUM(B2:B4)</f>
        <v>0</v>
      </c>
      <c r="C5" s="12">
        <f t="shared" ref="C5:M5" si="0">SUM(C2:C4)</f>
        <v>0</v>
      </c>
      <c r="D5" s="12">
        <f t="shared" si="0"/>
        <v>0</v>
      </c>
      <c r="E5" s="12">
        <f t="shared" si="0"/>
        <v>0</v>
      </c>
      <c r="F5" s="12">
        <f t="shared" si="0"/>
        <v>0</v>
      </c>
      <c r="G5" s="12">
        <f t="shared" si="0"/>
        <v>0</v>
      </c>
      <c r="H5" s="12">
        <f t="shared" si="0"/>
        <v>0</v>
      </c>
      <c r="I5" s="12">
        <f t="shared" si="0"/>
        <v>0</v>
      </c>
      <c r="J5" s="12">
        <f t="shared" si="0"/>
        <v>0</v>
      </c>
      <c r="K5" s="12">
        <f t="shared" si="0"/>
        <v>0</v>
      </c>
      <c r="L5" s="12">
        <f t="shared" si="0"/>
        <v>0</v>
      </c>
      <c r="M5" s="12">
        <f t="shared" si="0"/>
        <v>0</v>
      </c>
      <c r="N5" s="13">
        <f>SUM(B5:M5)</f>
        <v>0</v>
      </c>
    </row>
    <row r="6" spans="1:14" ht="72" x14ac:dyDescent="0.3">
      <c r="A6" s="14" t="s">
        <v>128</v>
      </c>
      <c r="B6" s="28">
        <f>'Charges variables'!B7</f>
        <v>0</v>
      </c>
      <c r="C6" s="28">
        <f>'Charges variables'!C7</f>
        <v>0</v>
      </c>
      <c r="D6" s="28">
        <f>'Charges variables'!D7</f>
        <v>0</v>
      </c>
      <c r="E6" s="28">
        <f>'Charges variables'!E7</f>
        <v>0</v>
      </c>
      <c r="F6" s="28">
        <f>'Charges variables'!F7</f>
        <v>0</v>
      </c>
      <c r="G6" s="28">
        <f>'Charges variables'!G7</f>
        <v>0</v>
      </c>
      <c r="H6" s="28">
        <f>'Charges variables'!H7</f>
        <v>0</v>
      </c>
      <c r="I6" s="28">
        <f>'Charges variables'!I7</f>
        <v>0</v>
      </c>
      <c r="J6" s="28">
        <f>'Charges variables'!J7</f>
        <v>0</v>
      </c>
      <c r="K6" s="28">
        <f>'Charges variables'!K7</f>
        <v>0</v>
      </c>
      <c r="L6" s="28">
        <f>'Charges variables'!L7</f>
        <v>0</v>
      </c>
      <c r="M6" s="28">
        <f>'Charges variables'!M7</f>
        <v>0</v>
      </c>
      <c r="N6" s="13">
        <f t="shared" ref="N6:N21" si="1">SUM(B6:M6)</f>
        <v>0</v>
      </c>
    </row>
    <row r="7" spans="1:14" ht="28.8" x14ac:dyDescent="0.3">
      <c r="A7" s="14" t="s">
        <v>129</v>
      </c>
      <c r="B7" s="28">
        <f>'Charges variables'!B8</f>
        <v>0</v>
      </c>
      <c r="C7" s="28">
        <f>'Charges variables'!C8</f>
        <v>0</v>
      </c>
      <c r="D7" s="28">
        <f>'Charges variables'!D8</f>
        <v>0</v>
      </c>
      <c r="E7" s="28">
        <f>'Charges variables'!E8</f>
        <v>0</v>
      </c>
      <c r="F7" s="28">
        <f>'Charges variables'!F8</f>
        <v>0</v>
      </c>
      <c r="G7" s="28">
        <f>'Charges variables'!G8</f>
        <v>0</v>
      </c>
      <c r="H7" s="28">
        <f>'Charges variables'!H8</f>
        <v>0</v>
      </c>
      <c r="I7" s="28">
        <f>'Charges variables'!I8</f>
        <v>0</v>
      </c>
      <c r="J7" s="28">
        <f>'Charges variables'!J8</f>
        <v>0</v>
      </c>
      <c r="K7" s="28">
        <f>'Charges variables'!K8</f>
        <v>0</v>
      </c>
      <c r="L7" s="28">
        <f>'Charges variables'!L8</f>
        <v>0</v>
      </c>
      <c r="M7" s="28">
        <f>'Charges variables'!M8</f>
        <v>0</v>
      </c>
      <c r="N7" s="13">
        <f t="shared" si="1"/>
        <v>0</v>
      </c>
    </row>
    <row r="8" spans="1:14" ht="28.8" x14ac:dyDescent="0.3">
      <c r="A8" s="14" t="s">
        <v>130</v>
      </c>
      <c r="B8" s="28">
        <f>'Charges variables'!B9</f>
        <v>0</v>
      </c>
      <c r="C8" s="28">
        <f>'Charges variables'!C9</f>
        <v>0</v>
      </c>
      <c r="D8" s="28">
        <f>'Charges variables'!D9</f>
        <v>0</v>
      </c>
      <c r="E8" s="28">
        <f>'Charges variables'!E9</f>
        <v>0</v>
      </c>
      <c r="F8" s="28">
        <f>'Charges variables'!F9</f>
        <v>0</v>
      </c>
      <c r="G8" s="28">
        <f>'Charges variables'!G9</f>
        <v>0</v>
      </c>
      <c r="H8" s="28">
        <f>'Charges variables'!H9</f>
        <v>0</v>
      </c>
      <c r="I8" s="28">
        <f>'Charges variables'!I9</f>
        <v>0</v>
      </c>
      <c r="J8" s="28">
        <f>'Charges variables'!J9</f>
        <v>0</v>
      </c>
      <c r="K8" s="28">
        <f>'Charges variables'!K9</f>
        <v>0</v>
      </c>
      <c r="L8" s="28">
        <f>'Charges variables'!L9</f>
        <v>0</v>
      </c>
      <c r="M8" s="28">
        <f>'Charges variables'!M9</f>
        <v>0</v>
      </c>
      <c r="N8" s="13">
        <f t="shared" si="1"/>
        <v>0</v>
      </c>
    </row>
    <row r="9" spans="1:14" ht="28.8" x14ac:dyDescent="0.3">
      <c r="A9" s="14" t="s">
        <v>131</v>
      </c>
      <c r="B9" s="28">
        <f>'Charges variables'!B10</f>
        <v>0</v>
      </c>
      <c r="C9" s="28">
        <f>'Charges variables'!C10</f>
        <v>0</v>
      </c>
      <c r="D9" s="28">
        <f>'Charges variables'!D10</f>
        <v>0</v>
      </c>
      <c r="E9" s="28">
        <f>'Charges variables'!E10</f>
        <v>0</v>
      </c>
      <c r="F9" s="28">
        <f>'Charges variables'!F10</f>
        <v>0</v>
      </c>
      <c r="G9" s="28">
        <f>'Charges variables'!G10</f>
        <v>0</v>
      </c>
      <c r="H9" s="28">
        <f>'Charges variables'!H10</f>
        <v>0</v>
      </c>
      <c r="I9" s="28">
        <f>'Charges variables'!I10</f>
        <v>0</v>
      </c>
      <c r="J9" s="28">
        <f>'Charges variables'!J10</f>
        <v>0</v>
      </c>
      <c r="K9" s="28">
        <f>'Charges variables'!K10</f>
        <v>0</v>
      </c>
      <c r="L9" s="28">
        <f>'Charges variables'!L10</f>
        <v>0</v>
      </c>
      <c r="M9" s="28">
        <f>'Charges variables'!M10</f>
        <v>0</v>
      </c>
      <c r="N9" s="13">
        <f t="shared" si="1"/>
        <v>0</v>
      </c>
    </row>
    <row r="10" spans="1:14" ht="57.6" x14ac:dyDescent="0.3">
      <c r="A10" s="14" t="s">
        <v>132</v>
      </c>
      <c r="B10" s="28">
        <f>'Charges variables'!B11</f>
        <v>0</v>
      </c>
      <c r="C10" s="28">
        <f>'Charges variables'!C11</f>
        <v>0</v>
      </c>
      <c r="D10" s="28">
        <f>'Charges variables'!D11</f>
        <v>0</v>
      </c>
      <c r="E10" s="28">
        <f>'Charges variables'!E11</f>
        <v>0</v>
      </c>
      <c r="F10" s="28">
        <f>'Charges variables'!F11</f>
        <v>0</v>
      </c>
      <c r="G10" s="28">
        <f>'Charges variables'!G11</f>
        <v>0</v>
      </c>
      <c r="H10" s="28">
        <f>'Charges variables'!H11</f>
        <v>0</v>
      </c>
      <c r="I10" s="28">
        <f>'Charges variables'!I11</f>
        <v>0</v>
      </c>
      <c r="J10" s="28">
        <f>'Charges variables'!J11</f>
        <v>0</v>
      </c>
      <c r="K10" s="28">
        <f>'Charges variables'!K11</f>
        <v>0</v>
      </c>
      <c r="L10" s="28">
        <f>'Charges variables'!L11</f>
        <v>0</v>
      </c>
      <c r="M10" s="28">
        <f>'Charges variables'!M11</f>
        <v>0</v>
      </c>
      <c r="N10" s="13">
        <f t="shared" si="1"/>
        <v>0</v>
      </c>
    </row>
    <row r="11" spans="1:14" ht="28.8" x14ac:dyDescent="0.3">
      <c r="A11" s="14" t="s">
        <v>133</v>
      </c>
      <c r="B11" s="28">
        <f>'Charges variables'!B12</f>
        <v>0</v>
      </c>
      <c r="C11" s="28">
        <f>'Charges variables'!C12</f>
        <v>0</v>
      </c>
      <c r="D11" s="28">
        <f>'Charges variables'!D12</f>
        <v>0</v>
      </c>
      <c r="E11" s="28">
        <f>'Charges variables'!E12</f>
        <v>0</v>
      </c>
      <c r="F11" s="28">
        <f>'Charges variables'!F12</f>
        <v>0</v>
      </c>
      <c r="G11" s="28">
        <f>'Charges variables'!G12</f>
        <v>0</v>
      </c>
      <c r="H11" s="28">
        <f>'Charges variables'!H12</f>
        <v>0</v>
      </c>
      <c r="I11" s="28">
        <f>'Charges variables'!I12</f>
        <v>0</v>
      </c>
      <c r="J11" s="28">
        <f>'Charges variables'!J12</f>
        <v>0</v>
      </c>
      <c r="K11" s="28">
        <f>'Charges variables'!K12</f>
        <v>0</v>
      </c>
      <c r="L11" s="28">
        <f>'Charges variables'!L12</f>
        <v>0</v>
      </c>
      <c r="M11" s="28">
        <f>'Charges variables'!M12</f>
        <v>0</v>
      </c>
      <c r="N11" s="13">
        <f t="shared" si="1"/>
        <v>0</v>
      </c>
    </row>
    <row r="12" spans="1:14" ht="57.6" x14ac:dyDescent="0.3">
      <c r="A12" s="14" t="s">
        <v>134</v>
      </c>
      <c r="B12" s="28">
        <f>'Charges variables'!B13</f>
        <v>150000</v>
      </c>
      <c r="C12" s="28">
        <f>'Charges variables'!C13</f>
        <v>150000</v>
      </c>
      <c r="D12" s="28">
        <f>'Charges variables'!D13</f>
        <v>150000</v>
      </c>
      <c r="E12" s="28">
        <f>'Charges variables'!E13</f>
        <v>150000</v>
      </c>
      <c r="F12" s="28">
        <f>'Charges variables'!F13</f>
        <v>150000</v>
      </c>
      <c r="G12" s="28">
        <f>'Charges variables'!G13</f>
        <v>150000</v>
      </c>
      <c r="H12" s="28">
        <f>'Charges variables'!H13</f>
        <v>150000</v>
      </c>
      <c r="I12" s="28">
        <f>'Charges variables'!I13</f>
        <v>150000</v>
      </c>
      <c r="J12" s="28">
        <f>'Charges variables'!J13</f>
        <v>150000</v>
      </c>
      <c r="K12" s="28">
        <f>'Charges variables'!K13</f>
        <v>150000</v>
      </c>
      <c r="L12" s="28">
        <f>'Charges variables'!L13</f>
        <v>150000</v>
      </c>
      <c r="M12" s="28">
        <f>'Charges variables'!M13</f>
        <v>150000</v>
      </c>
      <c r="N12" s="13">
        <f t="shared" si="1"/>
        <v>1800000</v>
      </c>
    </row>
    <row r="13" spans="1:14" ht="43.2" x14ac:dyDescent="0.3">
      <c r="A13" s="14" t="s">
        <v>135</v>
      </c>
      <c r="B13" s="28">
        <f>'Charges variables'!B14</f>
        <v>0</v>
      </c>
      <c r="C13" s="28">
        <f>'Charges variables'!C14</f>
        <v>0</v>
      </c>
      <c r="D13" s="28">
        <f>'Charges variables'!D14</f>
        <v>0</v>
      </c>
      <c r="E13" s="28">
        <f>'Charges variables'!E14</f>
        <v>0</v>
      </c>
      <c r="F13" s="28">
        <f>'Charges variables'!F14</f>
        <v>0</v>
      </c>
      <c r="G13" s="28">
        <f>'Charges variables'!G14</f>
        <v>0</v>
      </c>
      <c r="H13" s="28">
        <f>'Charges variables'!H14</f>
        <v>0</v>
      </c>
      <c r="I13" s="28">
        <f>'Charges variables'!I14</f>
        <v>0</v>
      </c>
      <c r="J13" s="28">
        <f>'Charges variables'!J14</f>
        <v>0</v>
      </c>
      <c r="K13" s="28">
        <f>'Charges variables'!K14</f>
        <v>0</v>
      </c>
      <c r="L13" s="28">
        <f>'Charges variables'!L14</f>
        <v>0</v>
      </c>
      <c r="M13" s="28">
        <f>'Charges variables'!M14</f>
        <v>0</v>
      </c>
      <c r="N13" s="13">
        <f t="shared" si="1"/>
        <v>0</v>
      </c>
    </row>
    <row r="14" spans="1:14" ht="57.6" x14ac:dyDescent="0.3">
      <c r="A14" s="14" t="s">
        <v>124</v>
      </c>
      <c r="B14" s="28">
        <f>'Charges variables'!B15</f>
        <v>8750</v>
      </c>
      <c r="C14" s="28">
        <f>'Charges variables'!C15</f>
        <v>17500</v>
      </c>
      <c r="D14" s="28">
        <f>'Charges variables'!D15</f>
        <v>26250</v>
      </c>
      <c r="E14" s="28">
        <f>'Charges variables'!E15</f>
        <v>35000</v>
      </c>
      <c r="F14" s="28">
        <f>'Charges variables'!F15</f>
        <v>43750</v>
      </c>
      <c r="G14" s="28">
        <f>'Charges variables'!G15</f>
        <v>52500</v>
      </c>
      <c r="H14" s="28">
        <f>'Charges variables'!H15</f>
        <v>70000</v>
      </c>
      <c r="I14" s="28">
        <f>'Charges variables'!I15</f>
        <v>78750</v>
      </c>
      <c r="J14" s="28">
        <f>'Charges variables'!J15</f>
        <v>78750</v>
      </c>
      <c r="K14" s="28">
        <f>'Charges variables'!K15</f>
        <v>78750</v>
      </c>
      <c r="L14" s="28">
        <f>'Charges variables'!L15</f>
        <v>78750</v>
      </c>
      <c r="M14" s="28">
        <f>'Charges variables'!M15</f>
        <v>78750</v>
      </c>
      <c r="N14" s="13">
        <f t="shared" si="1"/>
        <v>647500</v>
      </c>
    </row>
    <row r="15" spans="1:14" ht="43.2" x14ac:dyDescent="0.3">
      <c r="A15" s="14" t="s">
        <v>136</v>
      </c>
      <c r="B15" s="28">
        <f>'Charges variables'!B16</f>
        <v>50000</v>
      </c>
      <c r="C15" s="28">
        <f>'Charges variables'!C16</f>
        <v>50000</v>
      </c>
      <c r="D15" s="28">
        <f>'Charges variables'!D16</f>
        <v>50000</v>
      </c>
      <c r="E15" s="28">
        <f>'Charges variables'!E16</f>
        <v>50000</v>
      </c>
      <c r="F15" s="28">
        <f>'Charges variables'!F16</f>
        <v>50000</v>
      </c>
      <c r="G15" s="28">
        <f>'Charges variables'!G16</f>
        <v>50000</v>
      </c>
      <c r="H15" s="28">
        <f>'Charges variables'!H16</f>
        <v>50000</v>
      </c>
      <c r="I15" s="28">
        <f>'Charges variables'!I16</f>
        <v>50000</v>
      </c>
      <c r="J15" s="28">
        <f>'Charges variables'!J16</f>
        <v>50000</v>
      </c>
      <c r="K15" s="28">
        <f>'Charges variables'!K16</f>
        <v>50000</v>
      </c>
      <c r="L15" s="28">
        <f>'Charges variables'!L16</f>
        <v>50000</v>
      </c>
      <c r="M15" s="28">
        <f>'Charges variables'!M16</f>
        <v>50000</v>
      </c>
      <c r="N15" s="13">
        <f t="shared" si="1"/>
        <v>600000</v>
      </c>
    </row>
    <row r="16" spans="1:14" ht="28.8" x14ac:dyDescent="0.3">
      <c r="A16" s="14" t="s">
        <v>137</v>
      </c>
      <c r="B16" s="28">
        <f>'Charges variables'!B17</f>
        <v>5000</v>
      </c>
      <c r="C16" s="28">
        <f>'Charges variables'!C17</f>
        <v>5000</v>
      </c>
      <c r="D16" s="28">
        <f>'Charges variables'!D17</f>
        <v>5000</v>
      </c>
      <c r="E16" s="28">
        <f>'Charges variables'!E17</f>
        <v>5000</v>
      </c>
      <c r="F16" s="28">
        <f>'Charges variables'!F17</f>
        <v>5000</v>
      </c>
      <c r="G16" s="28">
        <f>'Charges variables'!G17</f>
        <v>5000</v>
      </c>
      <c r="H16" s="28">
        <f>'Charges variables'!H17</f>
        <v>5000</v>
      </c>
      <c r="I16" s="28">
        <f>'Charges variables'!I17</f>
        <v>5000</v>
      </c>
      <c r="J16" s="28">
        <f>'Charges variables'!J17</f>
        <v>5000</v>
      </c>
      <c r="K16" s="28">
        <f>'Charges variables'!K17</f>
        <v>5000</v>
      </c>
      <c r="L16" s="28">
        <f>'Charges variables'!L17</f>
        <v>5000</v>
      </c>
      <c r="M16" s="28">
        <f>'Charges variables'!M17</f>
        <v>5000</v>
      </c>
      <c r="N16" s="13">
        <f t="shared" si="1"/>
        <v>60000</v>
      </c>
    </row>
    <row r="17" spans="1:14" ht="72" x14ac:dyDescent="0.3">
      <c r="A17" s="14" t="s">
        <v>138</v>
      </c>
      <c r="B17" s="28">
        <f>'Charges variables'!B18</f>
        <v>17500</v>
      </c>
      <c r="C17" s="28">
        <f>'Charges variables'!C18</f>
        <v>35000</v>
      </c>
      <c r="D17" s="28">
        <f>'Charges variables'!D18</f>
        <v>52500</v>
      </c>
      <c r="E17" s="28">
        <f>'Charges variables'!E18</f>
        <v>70000</v>
      </c>
      <c r="F17" s="28">
        <f>'Charges variables'!F18</f>
        <v>87500</v>
      </c>
      <c r="G17" s="28">
        <f>'Charges variables'!G18</f>
        <v>105000</v>
      </c>
      <c r="H17" s="28">
        <f>'Charges variables'!H18</f>
        <v>140000</v>
      </c>
      <c r="I17" s="28">
        <f>'Charges variables'!I18</f>
        <v>157500</v>
      </c>
      <c r="J17" s="28">
        <f>'Charges variables'!J18</f>
        <v>157500</v>
      </c>
      <c r="K17" s="28">
        <f>'Charges variables'!K18</f>
        <v>157500</v>
      </c>
      <c r="L17" s="28">
        <f>'Charges variables'!L18</f>
        <v>157500</v>
      </c>
      <c r="M17" s="28">
        <f>'Charges variables'!M18</f>
        <v>157500</v>
      </c>
      <c r="N17" s="13">
        <f t="shared" si="1"/>
        <v>1295000</v>
      </c>
    </row>
    <row r="18" spans="1:14" ht="43.2" x14ac:dyDescent="0.3">
      <c r="A18" s="14" t="s">
        <v>139</v>
      </c>
      <c r="B18" s="28">
        <f>'Charges variables'!B19</f>
        <v>0</v>
      </c>
      <c r="C18" s="28">
        <f>'Charges variables'!C19</f>
        <v>0</v>
      </c>
      <c r="D18" s="28">
        <f>'Charges variables'!D19</f>
        <v>0</v>
      </c>
      <c r="E18" s="28">
        <f>'Charges variables'!E19</f>
        <v>0</v>
      </c>
      <c r="F18" s="28">
        <f>'Charges variables'!F19</f>
        <v>0</v>
      </c>
      <c r="G18" s="28">
        <f>'Charges variables'!G19</f>
        <v>100000</v>
      </c>
      <c r="H18" s="28">
        <f>'Charges variables'!H19</f>
        <v>100000</v>
      </c>
      <c r="I18" s="28">
        <f>'Charges variables'!I19</f>
        <v>100000</v>
      </c>
      <c r="J18" s="28">
        <f>'Charges variables'!J19</f>
        <v>100000</v>
      </c>
      <c r="K18" s="28">
        <f>'Charges variables'!K19</f>
        <v>100000</v>
      </c>
      <c r="L18" s="28">
        <f>'Charges variables'!L19</f>
        <v>100000</v>
      </c>
      <c r="M18" s="28">
        <f>'Charges variables'!M19</f>
        <v>100000</v>
      </c>
      <c r="N18" s="13">
        <f t="shared" si="1"/>
        <v>700000</v>
      </c>
    </row>
    <row r="19" spans="1:14" ht="86.4" x14ac:dyDescent="0.3">
      <c r="A19" s="14" t="s">
        <v>140</v>
      </c>
      <c r="B19" s="28">
        <f>'Charges variables'!B20</f>
        <v>26250</v>
      </c>
      <c r="C19" s="28">
        <f>'Charges variables'!C20</f>
        <v>52500</v>
      </c>
      <c r="D19" s="28">
        <f>'Charges variables'!D20</f>
        <v>78750</v>
      </c>
      <c r="E19" s="28">
        <f>'Charges variables'!E20</f>
        <v>105000</v>
      </c>
      <c r="F19" s="28">
        <f>'Charges variables'!F20</f>
        <v>131250</v>
      </c>
      <c r="G19" s="28">
        <f>'Charges variables'!G20</f>
        <v>157500</v>
      </c>
      <c r="H19" s="28">
        <f>'Charges variables'!H20</f>
        <v>210000</v>
      </c>
      <c r="I19" s="28">
        <f>'Charges variables'!I20</f>
        <v>236250</v>
      </c>
      <c r="J19" s="28">
        <f>'Charges variables'!J20</f>
        <v>236250</v>
      </c>
      <c r="K19" s="28">
        <f>'Charges variables'!K20</f>
        <v>236250</v>
      </c>
      <c r="L19" s="28">
        <f>'Charges variables'!L20</f>
        <v>236250</v>
      </c>
      <c r="M19" s="28">
        <f>'Charges variables'!M20</f>
        <v>236250</v>
      </c>
      <c r="N19" s="13">
        <f t="shared" si="1"/>
        <v>1942500</v>
      </c>
    </row>
    <row r="20" spans="1:14" ht="72" x14ac:dyDescent="0.3">
      <c r="A20" s="14" t="s">
        <v>141</v>
      </c>
      <c r="B20" s="28">
        <f>'Charges variables'!B21</f>
        <v>200000</v>
      </c>
      <c r="C20" s="28">
        <f>'Charges variables'!C21</f>
        <v>200000</v>
      </c>
      <c r="D20" s="28">
        <f>'Charges variables'!D21</f>
        <v>200000</v>
      </c>
      <c r="E20" s="28">
        <f>'Charges variables'!E21</f>
        <v>200000</v>
      </c>
      <c r="F20" s="28">
        <f>'Charges variables'!F21</f>
        <v>200000</v>
      </c>
      <c r="G20" s="28">
        <f>'Charges variables'!G21</f>
        <v>200000</v>
      </c>
      <c r="H20" s="28">
        <f>'Charges variables'!H21</f>
        <v>200000</v>
      </c>
      <c r="I20" s="28">
        <f>'Charges variables'!I21</f>
        <v>200000</v>
      </c>
      <c r="J20" s="28">
        <f>'Charges variables'!J21</f>
        <v>200000</v>
      </c>
      <c r="K20" s="28">
        <f>'Charges variables'!K21</f>
        <v>200000</v>
      </c>
      <c r="L20" s="28">
        <f>'Charges variables'!L21</f>
        <v>200000</v>
      </c>
      <c r="M20" s="28">
        <f>'Charges variables'!M21</f>
        <v>200000</v>
      </c>
      <c r="N20" s="13">
        <f t="shared" si="1"/>
        <v>2400000</v>
      </c>
    </row>
    <row r="21" spans="1:14" ht="115.2" x14ac:dyDescent="0.3">
      <c r="A21" s="14" t="s">
        <v>142</v>
      </c>
      <c r="B21" s="28">
        <f>'Charges variables'!B22</f>
        <v>0</v>
      </c>
      <c r="C21" s="28">
        <f>'Charges variables'!C22</f>
        <v>0</v>
      </c>
      <c r="D21" s="28">
        <f>'Charges variables'!D22</f>
        <v>0</v>
      </c>
      <c r="E21" s="28">
        <f>'Charges variables'!E22</f>
        <v>0</v>
      </c>
      <c r="F21" s="28">
        <f>'Charges variables'!F22</f>
        <v>0</v>
      </c>
      <c r="G21" s="28">
        <f>'Charges variables'!G22</f>
        <v>0</v>
      </c>
      <c r="H21" s="28">
        <f>'Charges variables'!H22</f>
        <v>0</v>
      </c>
      <c r="I21" s="28">
        <f>'Charges variables'!I22</f>
        <v>0</v>
      </c>
      <c r="J21" s="28">
        <f>'Charges variables'!J22</f>
        <v>0</v>
      </c>
      <c r="K21" s="28">
        <f>'Charges variables'!K22</f>
        <v>0</v>
      </c>
      <c r="L21" s="28">
        <f>'Charges variables'!L22</f>
        <v>0</v>
      </c>
      <c r="M21" s="28">
        <f>'Charges variables'!M22</f>
        <v>0</v>
      </c>
      <c r="N21" s="13">
        <f t="shared" si="1"/>
        <v>0</v>
      </c>
    </row>
    <row r="22" spans="1:14" ht="43.2" x14ac:dyDescent="0.3">
      <c r="A22" s="14" t="s">
        <v>143</v>
      </c>
      <c r="B22" s="28">
        <f>'Charges variables'!B23</f>
        <v>457500</v>
      </c>
      <c r="C22" s="28">
        <f>'Charges variables'!C23</f>
        <v>510000</v>
      </c>
      <c r="D22" s="28">
        <f>'Charges variables'!D23</f>
        <v>562500</v>
      </c>
      <c r="E22" s="28">
        <f>'Charges variables'!E23</f>
        <v>615000</v>
      </c>
      <c r="F22" s="28">
        <f>'Charges variables'!F23</f>
        <v>667500</v>
      </c>
      <c r="G22" s="28">
        <f>'Charges variables'!G23</f>
        <v>820000</v>
      </c>
      <c r="H22" s="28">
        <f>'Charges variables'!H23</f>
        <v>925000</v>
      </c>
      <c r="I22" s="28">
        <f>'Charges variables'!I23</f>
        <v>977500</v>
      </c>
      <c r="J22" s="28">
        <f>'Charges variables'!J23</f>
        <v>977500</v>
      </c>
      <c r="K22" s="28">
        <f>'Charges variables'!K23</f>
        <v>977500</v>
      </c>
      <c r="L22" s="28">
        <f>'Charges variables'!L23</f>
        <v>977500</v>
      </c>
      <c r="M22" s="28">
        <f>'Charges variables'!M23</f>
        <v>977500</v>
      </c>
      <c r="N22" s="12">
        <f>SUM(B22:M22)</f>
        <v>9445000</v>
      </c>
    </row>
    <row r="23" spans="1:14" ht="57.6" x14ac:dyDescent="0.3">
      <c r="A23" s="14" t="s">
        <v>144</v>
      </c>
      <c r="B23" s="28">
        <f>'Charges variables'!B24</f>
        <v>0</v>
      </c>
      <c r="C23" s="28">
        <f>'Charges variables'!C24</f>
        <v>0</v>
      </c>
      <c r="D23" s="28">
        <f>'Charges variables'!D24</f>
        <v>0</v>
      </c>
      <c r="E23" s="28">
        <f>'Charges variables'!E24</f>
        <v>0</v>
      </c>
      <c r="F23" s="28">
        <f>'Charges variables'!F24</f>
        <v>0</v>
      </c>
      <c r="G23" s="28">
        <f>'Charges variables'!G24</f>
        <v>0</v>
      </c>
      <c r="H23" s="28">
        <f>'Charges variables'!H24</f>
        <v>0</v>
      </c>
      <c r="I23" s="28">
        <f>'Charges variables'!I24</f>
        <v>0</v>
      </c>
      <c r="J23" s="28">
        <f>'Charges variables'!J24</f>
        <v>0</v>
      </c>
      <c r="K23" s="28">
        <f>'Charges variables'!K24</f>
        <v>0</v>
      </c>
      <c r="L23" s="28">
        <f>'Charges variables'!L24</f>
        <v>0</v>
      </c>
      <c r="M23" s="28">
        <f>'Charges variables'!M24</f>
        <v>0</v>
      </c>
      <c r="N23" s="12">
        <f t="shared" ref="N23:N42" si="2">SUM(B23:M23)</f>
        <v>0</v>
      </c>
    </row>
    <row r="24" spans="1:14" ht="43.2" x14ac:dyDescent="0.3">
      <c r="A24" s="14" t="s">
        <v>145</v>
      </c>
      <c r="B24" s="28">
        <f>'Charges variables'!B25</f>
        <v>0</v>
      </c>
      <c r="C24" s="28">
        <f>'Charges variables'!C25</f>
        <v>0</v>
      </c>
      <c r="D24" s="28">
        <f>'Charges variables'!D25</f>
        <v>0</v>
      </c>
      <c r="E24" s="28">
        <f>'Charges variables'!E25</f>
        <v>0</v>
      </c>
      <c r="F24" s="28">
        <f>'Charges variables'!F25</f>
        <v>0</v>
      </c>
      <c r="G24" s="28">
        <f>'Charges variables'!G25</f>
        <v>0</v>
      </c>
      <c r="H24" s="28">
        <f>'Charges variables'!H25</f>
        <v>0</v>
      </c>
      <c r="I24" s="28">
        <f>'Charges variables'!I25</f>
        <v>0</v>
      </c>
      <c r="J24" s="28">
        <f>'Charges variables'!J25</f>
        <v>0</v>
      </c>
      <c r="K24" s="28">
        <f>'Charges variables'!K25</f>
        <v>0</v>
      </c>
      <c r="L24" s="28">
        <f>'Charges variables'!L25</f>
        <v>0</v>
      </c>
      <c r="M24" s="28">
        <f>'Charges variables'!M25</f>
        <v>0</v>
      </c>
      <c r="N24" s="12">
        <f t="shared" si="2"/>
        <v>0</v>
      </c>
    </row>
    <row r="25" spans="1:14" ht="28.8" x14ac:dyDescent="0.3">
      <c r="A25" s="14" t="s">
        <v>146</v>
      </c>
      <c r="B25" s="28">
        <f>'Charges variables'!B26</f>
        <v>0.3</v>
      </c>
      <c r="C25" s="28">
        <f>'Charges variables'!C26</f>
        <v>0</v>
      </c>
      <c r="D25" s="28">
        <f>'Charges variables'!D26</f>
        <v>0</v>
      </c>
      <c r="E25" s="28">
        <f>'Charges variables'!E26</f>
        <v>0</v>
      </c>
      <c r="F25" s="28">
        <f>'Charges variables'!F26</f>
        <v>0</v>
      </c>
      <c r="G25" s="28">
        <f>'Charges variables'!G26</f>
        <v>0</v>
      </c>
      <c r="H25" s="28">
        <f>'Charges variables'!H26</f>
        <v>0</v>
      </c>
      <c r="I25" s="28">
        <f>'Charges variables'!I26</f>
        <v>0</v>
      </c>
      <c r="J25" s="28">
        <f>'Charges variables'!J26</f>
        <v>0</v>
      </c>
      <c r="K25" s="28">
        <f>'Charges variables'!K26</f>
        <v>0</v>
      </c>
      <c r="L25" s="28">
        <f>'Charges variables'!L26</f>
        <v>0</v>
      </c>
      <c r="M25" s="28">
        <f>'Charges variables'!M26</f>
        <v>0</v>
      </c>
      <c r="N25" s="12">
        <f t="shared" si="2"/>
        <v>0.3</v>
      </c>
    </row>
    <row r="26" spans="1:14" ht="57.6" x14ac:dyDescent="0.3">
      <c r="A26" s="14" t="s">
        <v>147</v>
      </c>
      <c r="B26" s="28">
        <f>'Charges variables'!B27</f>
        <v>0</v>
      </c>
      <c r="C26" s="28">
        <f>'Charges variables'!C27</f>
        <v>0</v>
      </c>
      <c r="D26" s="28">
        <f>'Charges variables'!D27</f>
        <v>0</v>
      </c>
      <c r="E26" s="28">
        <f>'Charges variables'!E27</f>
        <v>0</v>
      </c>
      <c r="F26" s="28">
        <f>'Charges variables'!F27</f>
        <v>0</v>
      </c>
      <c r="G26" s="28">
        <f>'Charges variables'!G27</f>
        <v>0</v>
      </c>
      <c r="H26" s="28">
        <f>'Charges variables'!H27</f>
        <v>0</v>
      </c>
      <c r="I26" s="28">
        <f>'Charges variables'!I27</f>
        <v>0</v>
      </c>
      <c r="J26" s="28">
        <f>'Charges variables'!J27</f>
        <v>0</v>
      </c>
      <c r="K26" s="28">
        <f>'Charges variables'!K27</f>
        <v>0</v>
      </c>
      <c r="L26" s="28">
        <f>'Charges variables'!L27</f>
        <v>0</v>
      </c>
      <c r="M26" s="28">
        <f>'Charges variables'!M27</f>
        <v>0</v>
      </c>
      <c r="N26" s="12">
        <f t="shared" si="2"/>
        <v>0</v>
      </c>
    </row>
    <row r="27" spans="1:14" x14ac:dyDescent="0.3">
      <c r="A27" s="14" t="s">
        <v>148</v>
      </c>
      <c r="B27" s="28">
        <f>'Charges variables'!B28</f>
        <v>0.3</v>
      </c>
      <c r="C27" s="28">
        <f>'Charges variables'!C28</f>
        <v>0</v>
      </c>
      <c r="D27" s="28">
        <f>'Charges variables'!D28</f>
        <v>0</v>
      </c>
      <c r="E27" s="28">
        <f>'Charges variables'!E28</f>
        <v>0</v>
      </c>
      <c r="F27" s="28">
        <f>'Charges variables'!F28</f>
        <v>0</v>
      </c>
      <c r="G27" s="28">
        <f>'Charges variables'!G28</f>
        <v>0</v>
      </c>
      <c r="H27" s="28">
        <f>'Charges variables'!H28</f>
        <v>0</v>
      </c>
      <c r="I27" s="28">
        <f>'Charges variables'!I28</f>
        <v>0</v>
      </c>
      <c r="J27" s="28">
        <f>'Charges variables'!J28</f>
        <v>0</v>
      </c>
      <c r="K27" s="28">
        <f>'Charges variables'!K28</f>
        <v>0</v>
      </c>
      <c r="L27" s="28">
        <f>'Charges variables'!L28</f>
        <v>0</v>
      </c>
      <c r="M27" s="28">
        <f>'Charges variables'!M28</f>
        <v>0</v>
      </c>
      <c r="N27" s="12">
        <f t="shared" si="2"/>
        <v>0.3</v>
      </c>
    </row>
    <row r="28" spans="1:14" ht="43.2" x14ac:dyDescent="0.3">
      <c r="A28" s="14" t="s">
        <v>149</v>
      </c>
      <c r="B28" s="28">
        <f>'Charges variables'!B29</f>
        <v>0</v>
      </c>
      <c r="C28" s="28">
        <f>'Charges variables'!C29</f>
        <v>0</v>
      </c>
      <c r="D28" s="28">
        <f>'Charges variables'!D29</f>
        <v>0</v>
      </c>
      <c r="E28" s="28">
        <f>'Charges variables'!E29</f>
        <v>0</v>
      </c>
      <c r="F28" s="28">
        <f>'Charges variables'!F29</f>
        <v>0</v>
      </c>
      <c r="G28" s="28">
        <f>'Charges variables'!G29</f>
        <v>0</v>
      </c>
      <c r="H28" s="28">
        <f>'Charges variables'!H29</f>
        <v>0</v>
      </c>
      <c r="I28" s="28">
        <f>'Charges variables'!I29</f>
        <v>0</v>
      </c>
      <c r="J28" s="28">
        <f>'Charges variables'!J29</f>
        <v>0</v>
      </c>
      <c r="K28" s="28">
        <f>'Charges variables'!K29</f>
        <v>0</v>
      </c>
      <c r="L28" s="28">
        <f>'Charges variables'!L29</f>
        <v>0</v>
      </c>
      <c r="M28" s="28">
        <f>'Charges variables'!M29</f>
        <v>0</v>
      </c>
      <c r="N28" s="12">
        <f t="shared" si="2"/>
        <v>0</v>
      </c>
    </row>
    <row r="29" spans="1:14" ht="43.2" x14ac:dyDescent="0.3">
      <c r="A29" s="14" t="s">
        <v>150</v>
      </c>
      <c r="B29" s="28">
        <f>'Charges variables'!B30</f>
        <v>0</v>
      </c>
      <c r="C29" s="28">
        <f>'Charges variables'!C30</f>
        <v>0</v>
      </c>
      <c r="D29" s="28">
        <f>'Charges variables'!D30</f>
        <v>0</v>
      </c>
      <c r="E29" s="28">
        <f>'Charges variables'!E30</f>
        <v>0</v>
      </c>
      <c r="F29" s="28">
        <f>'Charges variables'!F30</f>
        <v>0</v>
      </c>
      <c r="G29" s="28">
        <f>'Charges variables'!G30</f>
        <v>0</v>
      </c>
      <c r="H29" s="28">
        <f>'Charges variables'!H30</f>
        <v>0</v>
      </c>
      <c r="I29" s="28">
        <f>'Charges variables'!I30</f>
        <v>0</v>
      </c>
      <c r="J29" s="28">
        <f>'Charges variables'!J30</f>
        <v>0</v>
      </c>
      <c r="K29" s="28">
        <f>'Charges variables'!K30</f>
        <v>0</v>
      </c>
      <c r="L29" s="28">
        <f>'Charges variables'!L30</f>
        <v>0</v>
      </c>
      <c r="M29" s="28">
        <f>'Charges variables'!M30</f>
        <v>0</v>
      </c>
      <c r="N29" s="12">
        <f t="shared" si="2"/>
        <v>0</v>
      </c>
    </row>
    <row r="30" spans="1:14" ht="43.2" x14ac:dyDescent="0.3">
      <c r="A30" s="14" t="s">
        <v>151</v>
      </c>
      <c r="B30" s="28">
        <f>'Charges variables'!B31</f>
        <v>0</v>
      </c>
      <c r="C30" s="28">
        <f>'Charges variables'!C31</f>
        <v>0</v>
      </c>
      <c r="D30" s="28">
        <f>'Charges variables'!D31</f>
        <v>0</v>
      </c>
      <c r="E30" s="28">
        <f>'Charges variables'!E31</f>
        <v>0</v>
      </c>
      <c r="F30" s="28">
        <f>'Charges variables'!F31</f>
        <v>0</v>
      </c>
      <c r="G30" s="28">
        <f>'Charges variables'!G31</f>
        <v>0</v>
      </c>
      <c r="H30" s="28">
        <f>'Charges variables'!H31</f>
        <v>0</v>
      </c>
      <c r="I30" s="28">
        <f>'Charges variables'!I31</f>
        <v>0</v>
      </c>
      <c r="J30" s="28">
        <f>'Charges variables'!J31</f>
        <v>0</v>
      </c>
      <c r="K30" s="28">
        <f>'Charges variables'!K31</f>
        <v>0</v>
      </c>
      <c r="L30" s="28">
        <f>'Charges variables'!L31</f>
        <v>0</v>
      </c>
      <c r="M30" s="28">
        <f>'Charges variables'!M31</f>
        <v>0</v>
      </c>
      <c r="N30" s="12">
        <f t="shared" si="2"/>
        <v>0</v>
      </c>
    </row>
    <row r="31" spans="1:14" ht="43.2" x14ac:dyDescent="0.3">
      <c r="A31" s="14" t="s">
        <v>152</v>
      </c>
      <c r="B31" s="28">
        <f>'Charges variables'!B32</f>
        <v>0</v>
      </c>
      <c r="C31" s="28">
        <f>'Charges variables'!C32</f>
        <v>0</v>
      </c>
      <c r="D31" s="28">
        <f>'Charges variables'!D32</f>
        <v>0</v>
      </c>
      <c r="E31" s="28">
        <f>'Charges variables'!E32</f>
        <v>0</v>
      </c>
      <c r="F31" s="28">
        <f>'Charges variables'!F32</f>
        <v>0</v>
      </c>
      <c r="G31" s="28">
        <f>'Charges variables'!G32</f>
        <v>0</v>
      </c>
      <c r="H31" s="28">
        <f>'Charges variables'!H32</f>
        <v>0</v>
      </c>
      <c r="I31" s="28">
        <f>'Charges variables'!I32</f>
        <v>0</v>
      </c>
      <c r="J31" s="28">
        <f>'Charges variables'!J32</f>
        <v>0</v>
      </c>
      <c r="K31" s="28">
        <f>'Charges variables'!K32</f>
        <v>0</v>
      </c>
      <c r="L31" s="28">
        <f>'Charges variables'!L32</f>
        <v>0</v>
      </c>
      <c r="M31" s="28">
        <f>'Charges variables'!M32</f>
        <v>0</v>
      </c>
      <c r="N31" s="12">
        <f t="shared" si="2"/>
        <v>0</v>
      </c>
    </row>
    <row r="32" spans="1:14" ht="43.2" x14ac:dyDescent="0.3">
      <c r="A32" s="14" t="s">
        <v>153</v>
      </c>
      <c r="B32" s="28">
        <f>'Charges variables'!B33</f>
        <v>0</v>
      </c>
      <c r="C32" s="28">
        <f>'Charges variables'!C33</f>
        <v>0</v>
      </c>
      <c r="D32" s="28">
        <f>'Charges variables'!D33</f>
        <v>0</v>
      </c>
      <c r="E32" s="28">
        <f>'Charges variables'!E33</f>
        <v>0</v>
      </c>
      <c r="F32" s="28">
        <f>'Charges variables'!F33</f>
        <v>0</v>
      </c>
      <c r="G32" s="28">
        <f>'Charges variables'!G33</f>
        <v>0</v>
      </c>
      <c r="H32" s="28">
        <f>'Charges variables'!H33</f>
        <v>0</v>
      </c>
      <c r="I32" s="28">
        <f>'Charges variables'!I33</f>
        <v>0</v>
      </c>
      <c r="J32" s="28">
        <f>'Charges variables'!J33</f>
        <v>0</v>
      </c>
      <c r="K32" s="28">
        <f>'Charges variables'!K33</f>
        <v>0</v>
      </c>
      <c r="L32" s="28">
        <f>'Charges variables'!L33</f>
        <v>0</v>
      </c>
      <c r="M32" s="28">
        <f>'Charges variables'!M33</f>
        <v>0</v>
      </c>
      <c r="N32" s="12">
        <f t="shared" si="2"/>
        <v>0</v>
      </c>
    </row>
    <row r="33" spans="1:14" ht="43.2" x14ac:dyDescent="0.3">
      <c r="A33" s="14" t="s">
        <v>154</v>
      </c>
      <c r="B33" s="28">
        <f>'Charges variables'!B34</f>
        <v>0</v>
      </c>
      <c r="C33" s="28">
        <f>'Charges variables'!C34</f>
        <v>0</v>
      </c>
      <c r="D33" s="28">
        <f>'Charges variables'!D34</f>
        <v>0</v>
      </c>
      <c r="E33" s="28">
        <f>'Charges variables'!E34</f>
        <v>0</v>
      </c>
      <c r="F33" s="28">
        <f>'Charges variables'!F34</f>
        <v>0</v>
      </c>
      <c r="G33" s="28">
        <f>'Charges variables'!G34</f>
        <v>0</v>
      </c>
      <c r="H33" s="28">
        <f>'Charges variables'!H34</f>
        <v>0</v>
      </c>
      <c r="I33" s="28">
        <f>'Charges variables'!I34</f>
        <v>0</v>
      </c>
      <c r="J33" s="28">
        <f>'Charges variables'!J34</f>
        <v>0</v>
      </c>
      <c r="K33" s="28">
        <f>'Charges variables'!K34</f>
        <v>0</v>
      </c>
      <c r="L33" s="28">
        <f>'Charges variables'!L34</f>
        <v>0</v>
      </c>
      <c r="M33" s="28">
        <f>'Charges variables'!M34</f>
        <v>0</v>
      </c>
      <c r="N33" s="12">
        <f t="shared" si="2"/>
        <v>0</v>
      </c>
    </row>
    <row r="34" spans="1:14" ht="43.2" x14ac:dyDescent="0.3">
      <c r="A34" s="14" t="s">
        <v>155</v>
      </c>
      <c r="B34" s="28">
        <f>'Charges variables'!B35</f>
        <v>0</v>
      </c>
      <c r="C34" s="28">
        <f>'Charges variables'!C35</f>
        <v>0</v>
      </c>
      <c r="D34" s="28">
        <f>'Charges variables'!D35</f>
        <v>0</v>
      </c>
      <c r="E34" s="28">
        <f>'Charges variables'!E35</f>
        <v>0</v>
      </c>
      <c r="F34" s="28">
        <f>'Charges variables'!F35</f>
        <v>0</v>
      </c>
      <c r="G34" s="28">
        <f>'Charges variables'!G35</f>
        <v>0</v>
      </c>
      <c r="H34" s="28">
        <f>'Charges variables'!H35</f>
        <v>0</v>
      </c>
      <c r="I34" s="28">
        <f>'Charges variables'!I35</f>
        <v>0</v>
      </c>
      <c r="J34" s="28">
        <f>'Charges variables'!J35</f>
        <v>0</v>
      </c>
      <c r="K34" s="28">
        <f>'Charges variables'!K35</f>
        <v>0</v>
      </c>
      <c r="L34" s="28">
        <f>'Charges variables'!L35</f>
        <v>0</v>
      </c>
      <c r="M34" s="28">
        <f>'Charges variables'!M35</f>
        <v>0</v>
      </c>
      <c r="N34" s="12">
        <f t="shared" si="2"/>
        <v>0</v>
      </c>
    </row>
    <row r="35" spans="1:14" ht="43.2" x14ac:dyDescent="0.3">
      <c r="A35" s="14" t="s">
        <v>156</v>
      </c>
      <c r="B35" s="28">
        <f>'Charges variables'!B36</f>
        <v>0</v>
      </c>
      <c r="C35" s="28">
        <f>'Charges variables'!C36</f>
        <v>0</v>
      </c>
      <c r="D35" s="28">
        <f>'Charges variables'!D36</f>
        <v>0</v>
      </c>
      <c r="E35" s="28">
        <f>'Charges variables'!E36</f>
        <v>0</v>
      </c>
      <c r="F35" s="28">
        <f>'Charges variables'!F36</f>
        <v>0</v>
      </c>
      <c r="G35" s="28">
        <f>'Charges variables'!G36</f>
        <v>0</v>
      </c>
      <c r="H35" s="28">
        <f>'Charges variables'!H36</f>
        <v>0</v>
      </c>
      <c r="I35" s="28">
        <f>'Charges variables'!I36</f>
        <v>0</v>
      </c>
      <c r="J35" s="28">
        <f>'Charges variables'!J36</f>
        <v>0</v>
      </c>
      <c r="K35" s="28">
        <f>'Charges variables'!K36</f>
        <v>0</v>
      </c>
      <c r="L35" s="28">
        <f>'Charges variables'!L36</f>
        <v>0</v>
      </c>
      <c r="M35" s="28">
        <f>'Charges variables'!M36</f>
        <v>0</v>
      </c>
      <c r="N35" s="12">
        <f t="shared" si="2"/>
        <v>0</v>
      </c>
    </row>
    <row r="36" spans="1:14" ht="57.6" x14ac:dyDescent="0.3">
      <c r="A36" s="14" t="s">
        <v>157</v>
      </c>
      <c r="B36" s="28">
        <f>'Charges variables'!B37</f>
        <v>0</v>
      </c>
      <c r="C36" s="28">
        <f>'Charges variables'!C37</f>
        <v>0</v>
      </c>
      <c r="D36" s="28">
        <f>'Charges variables'!D37</f>
        <v>0</v>
      </c>
      <c r="E36" s="28">
        <f>'Charges variables'!E37</f>
        <v>0</v>
      </c>
      <c r="F36" s="28">
        <f>'Charges variables'!F37</f>
        <v>0</v>
      </c>
      <c r="G36" s="28">
        <f>'Charges variables'!G37</f>
        <v>0</v>
      </c>
      <c r="H36" s="28">
        <f>'Charges variables'!H37</f>
        <v>0</v>
      </c>
      <c r="I36" s="28">
        <f>'Charges variables'!I37</f>
        <v>0</v>
      </c>
      <c r="J36" s="28">
        <f>'Charges variables'!J37</f>
        <v>0</v>
      </c>
      <c r="K36" s="28">
        <f>'Charges variables'!K37</f>
        <v>0</v>
      </c>
      <c r="L36" s="28">
        <f>'Charges variables'!L37</f>
        <v>0</v>
      </c>
      <c r="M36" s="28">
        <f>'Charges variables'!M37</f>
        <v>0</v>
      </c>
      <c r="N36" s="12">
        <f t="shared" si="2"/>
        <v>0</v>
      </c>
    </row>
    <row r="37" spans="1:14" ht="28.8" x14ac:dyDescent="0.3">
      <c r="A37" s="14" t="s">
        <v>158</v>
      </c>
      <c r="B37" s="28">
        <f>'Charges variables'!B38</f>
        <v>0</v>
      </c>
      <c r="C37" s="28">
        <f>'Charges variables'!C38</f>
        <v>0</v>
      </c>
      <c r="D37" s="28">
        <f>'Charges variables'!D38</f>
        <v>0</v>
      </c>
      <c r="E37" s="28">
        <f>'Charges variables'!E38</f>
        <v>0</v>
      </c>
      <c r="F37" s="28">
        <f>'Charges variables'!F38</f>
        <v>0</v>
      </c>
      <c r="G37" s="28">
        <f>'Charges variables'!G38</f>
        <v>0</v>
      </c>
      <c r="H37" s="28">
        <f>'Charges variables'!H38</f>
        <v>0</v>
      </c>
      <c r="I37" s="28">
        <f>'Charges variables'!I38</f>
        <v>0</v>
      </c>
      <c r="J37" s="28">
        <f>'Charges variables'!J38</f>
        <v>0</v>
      </c>
      <c r="K37" s="28">
        <f>'Charges variables'!K38</f>
        <v>0</v>
      </c>
      <c r="L37" s="28">
        <f>'Charges variables'!L38</f>
        <v>0</v>
      </c>
      <c r="M37" s="28">
        <f>'Charges variables'!M38</f>
        <v>0</v>
      </c>
      <c r="N37" s="12">
        <f t="shared" si="2"/>
        <v>0</v>
      </c>
    </row>
    <row r="38" spans="1:14" ht="28.8" x14ac:dyDescent="0.3">
      <c r="A38" s="14" t="s">
        <v>159</v>
      </c>
      <c r="B38" s="28">
        <f>'Charges variables'!B39</f>
        <v>0</v>
      </c>
      <c r="C38" s="28">
        <f>'Charges variables'!C39</f>
        <v>0</v>
      </c>
      <c r="D38" s="28">
        <f>'Charges variables'!D39</f>
        <v>0</v>
      </c>
      <c r="E38" s="28">
        <f>'Charges variables'!E39</f>
        <v>0</v>
      </c>
      <c r="F38" s="28">
        <f>'Charges variables'!F39</f>
        <v>0</v>
      </c>
      <c r="G38" s="28">
        <f>'Charges variables'!G39</f>
        <v>0</v>
      </c>
      <c r="H38" s="28">
        <f>'Charges variables'!H39</f>
        <v>0</v>
      </c>
      <c r="I38" s="28">
        <f>'Charges variables'!I39</f>
        <v>0</v>
      </c>
      <c r="J38" s="28">
        <f>'Charges variables'!J39</f>
        <v>0</v>
      </c>
      <c r="K38" s="28">
        <f>'Charges variables'!K39</f>
        <v>0</v>
      </c>
      <c r="L38" s="28">
        <f>'Charges variables'!L39</f>
        <v>0</v>
      </c>
      <c r="M38" s="28">
        <f>'Charges variables'!M39</f>
        <v>0</v>
      </c>
      <c r="N38" s="12">
        <f>SUM(B38:M38)</f>
        <v>0</v>
      </c>
    </row>
    <row r="39" spans="1:14" ht="43.2" x14ac:dyDescent="0.3">
      <c r="A39" s="14" t="s">
        <v>160</v>
      </c>
      <c r="B39" s="28">
        <f>'Charges variables'!B40</f>
        <v>0</v>
      </c>
      <c r="C39" s="28">
        <f>'Charges variables'!C40</f>
        <v>0</v>
      </c>
      <c r="D39" s="28">
        <f>'Charges variables'!D40</f>
        <v>0</v>
      </c>
      <c r="E39" s="28">
        <f>'Charges variables'!E40</f>
        <v>0</v>
      </c>
      <c r="F39" s="28">
        <f>'Charges variables'!F40</f>
        <v>0</v>
      </c>
      <c r="G39" s="28">
        <f>'Charges variables'!G40</f>
        <v>0</v>
      </c>
      <c r="H39" s="28">
        <f>'Charges variables'!H40</f>
        <v>0</v>
      </c>
      <c r="I39" s="28">
        <f>'Charges variables'!I40</f>
        <v>0</v>
      </c>
      <c r="J39" s="28">
        <f>'Charges variables'!J40</f>
        <v>0</v>
      </c>
      <c r="K39" s="28">
        <f>'Charges variables'!K40</f>
        <v>0</v>
      </c>
      <c r="L39" s="28">
        <f>'Charges variables'!L40</f>
        <v>0</v>
      </c>
      <c r="M39" s="28">
        <f>'Charges variables'!M40</f>
        <v>0</v>
      </c>
      <c r="N39" s="12">
        <f t="shared" si="2"/>
        <v>0</v>
      </c>
    </row>
    <row r="40" spans="1:14" ht="28.8" x14ac:dyDescent="0.3">
      <c r="A40" s="14" t="s">
        <v>161</v>
      </c>
      <c r="B40" s="28">
        <f>'Charges variables'!B41</f>
        <v>0</v>
      </c>
      <c r="C40" s="28">
        <f>'Charges variables'!C41</f>
        <v>0</v>
      </c>
      <c r="D40" s="28">
        <f>'Charges variables'!D41</f>
        <v>0</v>
      </c>
      <c r="E40" s="28">
        <f>'Charges variables'!E41</f>
        <v>0</v>
      </c>
      <c r="F40" s="28">
        <f>'Charges variables'!F41</f>
        <v>0</v>
      </c>
      <c r="G40" s="28">
        <f>'Charges variables'!G41</f>
        <v>0</v>
      </c>
      <c r="H40" s="28">
        <f>'Charges variables'!H41</f>
        <v>0</v>
      </c>
      <c r="I40" s="28">
        <f>'Charges variables'!I41</f>
        <v>0</v>
      </c>
      <c r="J40" s="28">
        <f>'Charges variables'!J41</f>
        <v>0</v>
      </c>
      <c r="K40" s="28">
        <f>'Charges variables'!K41</f>
        <v>0</v>
      </c>
      <c r="L40" s="28">
        <f>'Charges variables'!L41</f>
        <v>0</v>
      </c>
      <c r="M40" s="28">
        <f>'Charges variables'!M41</f>
        <v>0</v>
      </c>
      <c r="N40" s="12">
        <f t="shared" si="2"/>
        <v>0</v>
      </c>
    </row>
    <row r="41" spans="1:14" ht="28.8" x14ac:dyDescent="0.3">
      <c r="A41" s="14" t="s">
        <v>162</v>
      </c>
      <c r="B41" s="28">
        <f>'Charges variables'!B42</f>
        <v>0</v>
      </c>
      <c r="C41" s="28">
        <f>'Charges variables'!C42</f>
        <v>0</v>
      </c>
      <c r="D41" s="28">
        <f>'Charges variables'!D42</f>
        <v>0</v>
      </c>
      <c r="E41" s="28">
        <f>'Charges variables'!E42</f>
        <v>0</v>
      </c>
      <c r="F41" s="28">
        <f>'Charges variables'!F42</f>
        <v>0</v>
      </c>
      <c r="G41" s="28">
        <f>'Charges variables'!G42</f>
        <v>0</v>
      </c>
      <c r="H41" s="28">
        <f>'Charges variables'!H42</f>
        <v>0</v>
      </c>
      <c r="I41" s="28">
        <f>'Charges variables'!I42</f>
        <v>0</v>
      </c>
      <c r="J41" s="28">
        <f>'Charges variables'!J42</f>
        <v>0</v>
      </c>
      <c r="K41" s="28">
        <f>'Charges variables'!K42</f>
        <v>0</v>
      </c>
      <c r="L41" s="28">
        <f>'Charges variables'!L42</f>
        <v>0</v>
      </c>
      <c r="M41" s="28">
        <f>'Charges variables'!M42</f>
        <v>0</v>
      </c>
      <c r="N41" s="12">
        <f t="shared" si="2"/>
        <v>0</v>
      </c>
    </row>
    <row r="42" spans="1:14" ht="28.8" x14ac:dyDescent="0.3">
      <c r="A42" s="14" t="s">
        <v>163</v>
      </c>
      <c r="B42" s="28">
        <f>'Charges variables'!B43</f>
        <v>0</v>
      </c>
      <c r="C42" s="28">
        <f>'Charges variables'!C43</f>
        <v>0</v>
      </c>
      <c r="D42" s="28">
        <f>'Charges variables'!D43</f>
        <v>0</v>
      </c>
      <c r="E42" s="28">
        <f>'Charges variables'!E43</f>
        <v>0</v>
      </c>
      <c r="F42" s="28">
        <f>'Charges variables'!F43</f>
        <v>0</v>
      </c>
      <c r="G42" s="28">
        <f>'Charges variables'!G43</f>
        <v>0</v>
      </c>
      <c r="H42" s="28">
        <f>'Charges variables'!H43</f>
        <v>0</v>
      </c>
      <c r="I42" s="28">
        <f>'Charges variables'!I43</f>
        <v>0</v>
      </c>
      <c r="J42" s="28">
        <f>'Charges variables'!J43</f>
        <v>0</v>
      </c>
      <c r="K42" s="28">
        <f>'Charges variables'!K43</f>
        <v>0</v>
      </c>
      <c r="L42" s="28">
        <f>'Charges variables'!L43</f>
        <v>0</v>
      </c>
      <c r="M42" s="28">
        <f>'Charges variables'!M43</f>
        <v>0</v>
      </c>
      <c r="N42" s="12">
        <f t="shared" si="2"/>
        <v>0</v>
      </c>
    </row>
    <row r="43" spans="1:14" x14ac:dyDescent="0.3">
      <c r="A43" s="14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12">
        <f>SUM(B43:M43)</f>
        <v>0</v>
      </c>
    </row>
    <row r="44" spans="1:14" ht="57.6" x14ac:dyDescent="0.3">
      <c r="A44" s="13" t="s">
        <v>236</v>
      </c>
      <c r="B44" s="12">
        <f>SUM(B6:B43)</f>
        <v>915000.60000000009</v>
      </c>
      <c r="C44" s="12">
        <f t="shared" ref="C44:L44" si="3">SUM(C6:C43)</f>
        <v>1020000</v>
      </c>
      <c r="D44" s="12">
        <f t="shared" si="3"/>
        <v>1125000</v>
      </c>
      <c r="E44" s="12">
        <f t="shared" si="3"/>
        <v>1230000</v>
      </c>
      <c r="F44" s="12">
        <f t="shared" si="3"/>
        <v>1335000</v>
      </c>
      <c r="G44" s="12">
        <f t="shared" si="3"/>
        <v>1640000</v>
      </c>
      <c r="H44" s="12">
        <f t="shared" si="3"/>
        <v>1850000</v>
      </c>
      <c r="I44" s="12">
        <f t="shared" si="3"/>
        <v>1955000</v>
      </c>
      <c r="J44" s="12">
        <f t="shared" si="3"/>
        <v>1955000</v>
      </c>
      <c r="K44" s="12">
        <f t="shared" si="3"/>
        <v>1955000</v>
      </c>
      <c r="L44" s="12">
        <f t="shared" si="3"/>
        <v>1955000</v>
      </c>
      <c r="M44" s="12">
        <f>SUM(M6:M43)</f>
        <v>1955000</v>
      </c>
      <c r="N44" s="117">
        <f>SUM(B44:M44)</f>
        <v>18890000.600000001</v>
      </c>
    </row>
    <row r="45" spans="1:14" ht="28.8" x14ac:dyDescent="0.3">
      <c r="A45" s="111" t="s">
        <v>404</v>
      </c>
      <c r="B45" s="11">
        <f>+B5+B44</f>
        <v>915000.60000000009</v>
      </c>
      <c r="C45" s="11">
        <f t="shared" ref="C45:N45" si="4">+C5+C44</f>
        <v>1020000</v>
      </c>
      <c r="D45" s="11">
        <f t="shared" si="4"/>
        <v>1125000</v>
      </c>
      <c r="E45" s="11">
        <f t="shared" si="4"/>
        <v>1230000</v>
      </c>
      <c r="F45" s="11">
        <f t="shared" si="4"/>
        <v>1335000</v>
      </c>
      <c r="G45" s="11">
        <f t="shared" si="4"/>
        <v>1640000</v>
      </c>
      <c r="H45" s="11">
        <f t="shared" si="4"/>
        <v>1850000</v>
      </c>
      <c r="I45" s="11">
        <f t="shared" si="4"/>
        <v>1955000</v>
      </c>
      <c r="J45" s="11">
        <f t="shared" si="4"/>
        <v>1955000</v>
      </c>
      <c r="K45" s="11">
        <f t="shared" si="4"/>
        <v>1955000</v>
      </c>
      <c r="L45" s="11">
        <f t="shared" si="4"/>
        <v>1955000</v>
      </c>
      <c r="M45" s="11">
        <f t="shared" si="4"/>
        <v>1955000</v>
      </c>
      <c r="N45" s="119">
        <f t="shared" si="4"/>
        <v>18890000.600000001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92D050"/>
  </sheetPr>
  <dimension ref="B2:K25"/>
  <sheetViews>
    <sheetView topLeftCell="A2" workbookViewId="0">
      <selection activeCell="G4" sqref="G4"/>
    </sheetView>
  </sheetViews>
  <sheetFormatPr baseColWidth="10" defaultRowHeight="14.4" x14ac:dyDescent="0.3"/>
  <cols>
    <col min="2" max="2" width="16.88671875" customWidth="1"/>
    <col min="3" max="3" width="34.88671875" customWidth="1"/>
    <col min="4" max="4" width="13.6640625" bestFit="1" customWidth="1"/>
    <col min="5" max="5" width="12.21875" bestFit="1" customWidth="1"/>
    <col min="8" max="8" width="13.33203125" customWidth="1"/>
    <col min="10" max="11" width="12.21875" bestFit="1" customWidth="1"/>
  </cols>
  <sheetData>
    <row r="2" spans="2:11" x14ac:dyDescent="0.3">
      <c r="D2" s="156" t="s">
        <v>246</v>
      </c>
      <c r="E2" s="156"/>
      <c r="F2" s="156"/>
      <c r="G2" s="156"/>
      <c r="H2" s="156"/>
      <c r="I2" s="156"/>
    </row>
    <row r="3" spans="2:11" ht="57.6" x14ac:dyDescent="0.3">
      <c r="B3" s="9"/>
      <c r="C3" s="6" t="s">
        <v>244</v>
      </c>
      <c r="D3" s="5" t="s">
        <v>242</v>
      </c>
      <c r="E3" s="5" t="s">
        <v>243</v>
      </c>
      <c r="F3" s="5" t="s">
        <v>251</v>
      </c>
      <c r="G3" s="5" t="s">
        <v>408</v>
      </c>
      <c r="H3" s="5" t="s">
        <v>247</v>
      </c>
      <c r="I3" s="5" t="s">
        <v>406</v>
      </c>
      <c r="J3" s="5" t="s">
        <v>502</v>
      </c>
    </row>
    <row r="4" spans="2:11" ht="28.8" x14ac:dyDescent="0.3">
      <c r="B4" s="9" t="s">
        <v>238</v>
      </c>
      <c r="C4" s="18">
        <f>SUM('Liste des investissements'!$N$2:$N$20)</f>
        <v>0</v>
      </c>
      <c r="D4" s="138">
        <v>1000000</v>
      </c>
      <c r="E4" s="138"/>
      <c r="F4" s="138"/>
      <c r="G4" s="138"/>
      <c r="H4" s="138"/>
      <c r="I4" s="138"/>
      <c r="J4" s="138">
        <f>C13</f>
        <v>35890000.600000001</v>
      </c>
    </row>
    <row r="5" spans="2:11" ht="28.8" x14ac:dyDescent="0.3">
      <c r="B5" s="9" t="s">
        <v>239</v>
      </c>
      <c r="C5" s="18">
        <f>SUM('Liste des investissements'!N21:N49)</f>
        <v>18000000</v>
      </c>
      <c r="D5" s="138"/>
      <c r="E5" s="138"/>
      <c r="F5" s="138"/>
      <c r="G5" s="138"/>
      <c r="H5" s="138"/>
      <c r="I5" s="138"/>
      <c r="J5" s="138"/>
    </row>
    <row r="6" spans="2:11" ht="28.8" x14ac:dyDescent="0.3">
      <c r="B6" s="9" t="s">
        <v>240</v>
      </c>
      <c r="C6" s="1">
        <f>SUM('Liste des investissements'!$A$50:$A$60)</f>
        <v>0</v>
      </c>
      <c r="D6" s="138"/>
      <c r="E6" s="138"/>
      <c r="F6" s="139"/>
      <c r="G6" s="138"/>
      <c r="H6" s="138"/>
      <c r="I6" s="138"/>
      <c r="J6" s="138"/>
    </row>
    <row r="7" spans="2:11" ht="28.8" x14ac:dyDescent="0.3">
      <c r="B7" s="13" t="s">
        <v>237</v>
      </c>
      <c r="C7" s="99">
        <f>+SUM(C4:C6)</f>
        <v>18000000</v>
      </c>
      <c r="D7" s="140">
        <f>+SUM(D4:D6)</f>
        <v>1000000</v>
      </c>
      <c r="E7" s="140">
        <f>+SUM(E4:E6)</f>
        <v>0</v>
      </c>
      <c r="F7" s="140">
        <f t="shared" ref="F7:H7" si="0">+SUM(F4:F6)</f>
        <v>0</v>
      </c>
      <c r="G7" s="140">
        <f t="shared" si="0"/>
        <v>0</v>
      </c>
      <c r="H7" s="140">
        <f t="shared" si="0"/>
        <v>0</v>
      </c>
      <c r="I7" s="140">
        <f>+SUM(I4:I6)</f>
        <v>0</v>
      </c>
      <c r="J7" s="140">
        <f>SUM(J4:J6)</f>
        <v>35890000.600000001</v>
      </c>
    </row>
    <row r="8" spans="2:11" ht="43.2" x14ac:dyDescent="0.3">
      <c r="B8" s="9" t="s">
        <v>241</v>
      </c>
      <c r="C8" s="18">
        <f>SUM('Fonds de roulement'!$N$2:$N$4)</f>
        <v>0</v>
      </c>
      <c r="D8" s="138"/>
      <c r="E8" s="138"/>
      <c r="F8" s="141"/>
      <c r="G8" s="138"/>
      <c r="H8" s="138"/>
      <c r="I8" s="138"/>
      <c r="J8" s="138"/>
    </row>
    <row r="9" spans="2:11" ht="28.8" x14ac:dyDescent="0.3">
      <c r="B9" s="9" t="s">
        <v>236</v>
      </c>
      <c r="C9" s="18">
        <f>'Fonds de roulement'!N44</f>
        <v>18890000.600000001</v>
      </c>
      <c r="D9" s="138"/>
      <c r="E9" s="138"/>
      <c r="F9" s="141"/>
      <c r="G9" s="138"/>
      <c r="H9" s="138"/>
      <c r="I9" s="138"/>
      <c r="J9" s="138"/>
    </row>
    <row r="10" spans="2:11" ht="28.8" x14ac:dyDescent="0.3">
      <c r="B10" s="13" t="s">
        <v>405</v>
      </c>
      <c r="C10" s="99">
        <f>+SUM(C8:C9)</f>
        <v>18890000.600000001</v>
      </c>
      <c r="D10" s="140">
        <f>+SUM(D8:D9)</f>
        <v>0</v>
      </c>
      <c r="E10" s="140">
        <f t="shared" ref="E10:I10" si="1">+SUM(E8:E9)</f>
        <v>0</v>
      </c>
      <c r="F10" s="140">
        <f t="shared" si="1"/>
        <v>0</v>
      </c>
      <c r="G10" s="140">
        <f t="shared" si="1"/>
        <v>0</v>
      </c>
      <c r="H10" s="140">
        <f t="shared" si="1"/>
        <v>0</v>
      </c>
      <c r="I10" s="140">
        <f t="shared" si="1"/>
        <v>0</v>
      </c>
      <c r="J10" s="140">
        <f>SUM(J8:J9)</f>
        <v>0</v>
      </c>
    </row>
    <row r="11" spans="2:11" ht="28.8" x14ac:dyDescent="0.3">
      <c r="B11" s="13" t="s">
        <v>245</v>
      </c>
      <c r="C11" s="119">
        <f>+C7+C10</f>
        <v>36890000.600000001</v>
      </c>
      <c r="D11" s="140">
        <f>+D7+D10</f>
        <v>1000000</v>
      </c>
      <c r="E11" s="140">
        <f t="shared" ref="E11:I11" si="2">+E7+E10</f>
        <v>0</v>
      </c>
      <c r="F11" s="140">
        <f t="shared" si="2"/>
        <v>0</v>
      </c>
      <c r="G11" s="140">
        <f t="shared" si="2"/>
        <v>0</v>
      </c>
      <c r="H11" s="140">
        <f t="shared" si="2"/>
        <v>0</v>
      </c>
      <c r="I11" s="140">
        <f t="shared" si="2"/>
        <v>0</v>
      </c>
      <c r="J11" s="140">
        <f>J7+J10</f>
        <v>35890000.600000001</v>
      </c>
      <c r="K11" s="142"/>
    </row>
    <row r="12" spans="2:11" x14ac:dyDescent="0.3">
      <c r="B12" s="16"/>
    </row>
    <row r="13" spans="2:11" x14ac:dyDescent="0.3">
      <c r="B13" s="16"/>
      <c r="C13" s="127">
        <f>C11-D4</f>
        <v>35890000.600000001</v>
      </c>
      <c r="D13" s="127">
        <f>C13-C15</f>
        <v>35740000.600000001</v>
      </c>
    </row>
    <row r="14" spans="2:11" x14ac:dyDescent="0.3">
      <c r="B14" s="16"/>
      <c r="C14" s="144"/>
    </row>
    <row r="15" spans="2:11" x14ac:dyDescent="0.3">
      <c r="B15" s="16"/>
      <c r="C15" s="142">
        <f>D4*0.15</f>
        <v>150000</v>
      </c>
    </row>
    <row r="16" spans="2:11" x14ac:dyDescent="0.3">
      <c r="B16" s="16"/>
    </row>
    <row r="17" spans="2:2" x14ac:dyDescent="0.3">
      <c r="B17" s="16"/>
    </row>
    <row r="18" spans="2:2" x14ac:dyDescent="0.3">
      <c r="B18" s="16"/>
    </row>
    <row r="19" spans="2:2" x14ac:dyDescent="0.3">
      <c r="B19" s="16"/>
    </row>
    <row r="20" spans="2:2" x14ac:dyDescent="0.3">
      <c r="B20" s="16"/>
    </row>
    <row r="21" spans="2:2" x14ac:dyDescent="0.3">
      <c r="B21" s="16"/>
    </row>
    <row r="22" spans="2:2" x14ac:dyDescent="0.3">
      <c r="B22" s="16"/>
    </row>
    <row r="23" spans="2:2" x14ac:dyDescent="0.3">
      <c r="B23" s="16"/>
    </row>
    <row r="24" spans="2:2" x14ac:dyDescent="0.3">
      <c r="B24" s="16"/>
    </row>
    <row r="25" spans="2:2" x14ac:dyDescent="0.3">
      <c r="B25" s="16"/>
    </row>
  </sheetData>
  <mergeCells count="1">
    <mergeCell ref="D2:I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FF00"/>
  </sheetPr>
  <dimension ref="B2:I67"/>
  <sheetViews>
    <sheetView zoomScale="90" zoomScaleNormal="90" workbookViewId="0">
      <selection activeCell="C30" sqref="C30:F30"/>
    </sheetView>
  </sheetViews>
  <sheetFormatPr baseColWidth="10" defaultRowHeight="14.4" x14ac:dyDescent="0.3"/>
  <cols>
    <col min="2" max="2" width="18" customWidth="1"/>
    <col min="3" max="3" width="18.5546875" customWidth="1"/>
    <col min="4" max="4" width="15.5546875" customWidth="1"/>
    <col min="5" max="5" width="18.6640625" customWidth="1"/>
    <col min="6" max="6" width="15.44140625" customWidth="1"/>
    <col min="8" max="8" width="16.109375" customWidth="1"/>
    <col min="9" max="9" width="13.88671875" bestFit="1" customWidth="1"/>
  </cols>
  <sheetData>
    <row r="2" spans="2:7" ht="15" customHeight="1" x14ac:dyDescent="0.3">
      <c r="B2" s="157" t="s">
        <v>248</v>
      </c>
      <c r="C2" s="159"/>
      <c r="D2" s="16"/>
    </row>
    <row r="3" spans="2:7" ht="39.75" customHeight="1" x14ac:dyDescent="0.3">
      <c r="B3" s="14" t="s">
        <v>249</v>
      </c>
      <c r="C3" s="26">
        <f>'Cout et schema de financement'!C7</f>
        <v>18000000</v>
      </c>
      <c r="D3" s="16"/>
    </row>
    <row r="4" spans="2:7" ht="32.25" customHeight="1" x14ac:dyDescent="0.3">
      <c r="B4" s="9" t="s">
        <v>250</v>
      </c>
      <c r="C4" s="27">
        <f>'Cout et schema de financement'!C10</f>
        <v>18890000.600000001</v>
      </c>
      <c r="D4" s="16"/>
    </row>
    <row r="5" spans="2:7" ht="18" customHeight="1" x14ac:dyDescent="0.3">
      <c r="B5" s="14" t="s">
        <v>248</v>
      </c>
      <c r="C5" s="26">
        <f>C3+C4</f>
        <v>36890000.600000001</v>
      </c>
      <c r="D5" s="16"/>
    </row>
    <row r="6" spans="2:7" x14ac:dyDescent="0.3">
      <c r="B6" s="166"/>
      <c r="C6" s="166"/>
      <c r="D6" s="16"/>
    </row>
    <row r="8" spans="2:7" x14ac:dyDescent="0.3">
      <c r="F8" s="16"/>
      <c r="G8" s="16"/>
    </row>
    <row r="9" spans="2:7" x14ac:dyDescent="0.3">
      <c r="F9" s="16"/>
      <c r="G9" s="16"/>
    </row>
    <row r="10" spans="2:7" x14ac:dyDescent="0.3">
      <c r="B10" s="146" t="s">
        <v>270</v>
      </c>
      <c r="C10" s="147"/>
      <c r="D10" s="147"/>
      <c r="E10" s="147"/>
      <c r="F10" s="148"/>
      <c r="G10" s="16"/>
    </row>
    <row r="11" spans="2:7" ht="15" customHeight="1" x14ac:dyDescent="0.3">
      <c r="B11" s="157" t="s">
        <v>269</v>
      </c>
      <c r="C11" s="158"/>
      <c r="D11" s="158"/>
      <c r="E11" s="158"/>
      <c r="F11" s="159"/>
      <c r="G11" s="16"/>
    </row>
    <row r="12" spans="2:7" x14ac:dyDescent="0.3">
      <c r="B12" s="9" t="s">
        <v>253</v>
      </c>
      <c r="C12" s="160">
        <f>'Cout et schema de financement'!E11</f>
        <v>0</v>
      </c>
      <c r="D12" s="161"/>
      <c r="E12" s="161"/>
      <c r="F12" s="162"/>
      <c r="G12" s="16"/>
    </row>
    <row r="13" spans="2:7" ht="28.8" x14ac:dyDescent="0.3">
      <c r="B13" s="9" t="s">
        <v>254</v>
      </c>
      <c r="C13" s="174">
        <v>7.0000000000000007E-2</v>
      </c>
      <c r="D13" s="175"/>
      <c r="E13" s="175"/>
      <c r="F13" s="176"/>
      <c r="G13" s="16"/>
    </row>
    <row r="14" spans="2:7" ht="28.8" x14ac:dyDescent="0.3">
      <c r="B14" s="9" t="s">
        <v>255</v>
      </c>
      <c r="C14" s="177">
        <v>5</v>
      </c>
      <c r="D14" s="178"/>
      <c r="E14" s="178"/>
      <c r="F14" s="179"/>
      <c r="G14" s="16"/>
    </row>
    <row r="15" spans="2:7" ht="31.2" x14ac:dyDescent="0.3">
      <c r="B15" s="19" t="s">
        <v>256</v>
      </c>
      <c r="C15" s="19" t="s">
        <v>257</v>
      </c>
      <c r="D15" s="19" t="s">
        <v>258</v>
      </c>
      <c r="E15" s="19" t="s">
        <v>259</v>
      </c>
      <c r="F15" s="19" t="s">
        <v>260</v>
      </c>
      <c r="G15" s="16"/>
    </row>
    <row r="16" spans="2:7" ht="15.6" x14ac:dyDescent="0.3">
      <c r="B16" s="19">
        <v>1</v>
      </c>
      <c r="C16" s="20">
        <f>C12</f>
        <v>0</v>
      </c>
      <c r="D16" s="20">
        <f xml:space="preserve"> C16*$C$13</f>
        <v>0</v>
      </c>
      <c r="E16" s="21">
        <f>$C$16/$C$14</f>
        <v>0</v>
      </c>
      <c r="F16" s="22">
        <f xml:space="preserve"> D16+E16</f>
        <v>0</v>
      </c>
      <c r="G16" s="16"/>
    </row>
    <row r="17" spans="2:7" ht="15.6" x14ac:dyDescent="0.3">
      <c r="B17" s="19">
        <v>2</v>
      </c>
      <c r="C17" s="20">
        <f xml:space="preserve"> C16-E16</f>
        <v>0</v>
      </c>
      <c r="D17" s="20">
        <f xml:space="preserve"> C17*$C$13</f>
        <v>0</v>
      </c>
      <c r="E17" s="21">
        <f t="shared" ref="E17:E22" si="0">$C$16/$C$14</f>
        <v>0</v>
      </c>
      <c r="F17" s="22">
        <f xml:space="preserve"> D17+E17</f>
        <v>0</v>
      </c>
      <c r="G17" s="16"/>
    </row>
    <row r="18" spans="2:7" ht="15.6" x14ac:dyDescent="0.3">
      <c r="B18" s="19">
        <v>3</v>
      </c>
      <c r="C18" s="20">
        <f xml:space="preserve"> C17-E17</f>
        <v>0</v>
      </c>
      <c r="D18" s="20">
        <f xml:space="preserve"> C18*$C$13</f>
        <v>0</v>
      </c>
      <c r="E18" s="21">
        <f t="shared" si="0"/>
        <v>0</v>
      </c>
      <c r="F18" s="22">
        <f xml:space="preserve"> D18+E18</f>
        <v>0</v>
      </c>
      <c r="G18" s="16"/>
    </row>
    <row r="19" spans="2:7" ht="15.6" x14ac:dyDescent="0.3">
      <c r="B19" s="19">
        <v>4</v>
      </c>
      <c r="C19" s="20">
        <f t="shared" ref="C19:C21" si="1" xml:space="preserve"> C18-E18</f>
        <v>0</v>
      </c>
      <c r="D19" s="20">
        <f t="shared" ref="D19:D22" si="2" xml:space="preserve"> C19*$C$13</f>
        <v>0</v>
      </c>
      <c r="E19" s="21">
        <f t="shared" si="0"/>
        <v>0</v>
      </c>
      <c r="F19" s="22">
        <f xml:space="preserve"> D19+E19</f>
        <v>0</v>
      </c>
      <c r="G19" s="16"/>
    </row>
    <row r="20" spans="2:7" ht="15.6" x14ac:dyDescent="0.3">
      <c r="B20" s="19">
        <v>5</v>
      </c>
      <c r="C20" s="20">
        <f t="shared" si="1"/>
        <v>0</v>
      </c>
      <c r="D20" s="20">
        <f t="shared" si="2"/>
        <v>0</v>
      </c>
      <c r="E20" s="21">
        <f t="shared" si="0"/>
        <v>0</v>
      </c>
      <c r="F20" s="22">
        <f xml:space="preserve"> D20+E20</f>
        <v>0</v>
      </c>
      <c r="G20" s="16"/>
    </row>
    <row r="21" spans="2:7" ht="15.6" x14ac:dyDescent="0.3">
      <c r="B21" s="19">
        <v>6</v>
      </c>
      <c r="C21" s="20">
        <f t="shared" si="1"/>
        <v>0</v>
      </c>
      <c r="D21" s="20">
        <f t="shared" si="2"/>
        <v>0</v>
      </c>
      <c r="E21" s="21">
        <f t="shared" si="0"/>
        <v>0</v>
      </c>
      <c r="F21" s="22">
        <f t="shared" ref="F21:F22" si="3" xml:space="preserve"> D21+E21</f>
        <v>0</v>
      </c>
      <c r="G21" s="16"/>
    </row>
    <row r="22" spans="2:7" ht="15.6" x14ac:dyDescent="0.3">
      <c r="B22" s="19">
        <v>7</v>
      </c>
      <c r="C22" s="20">
        <f xml:space="preserve"> C21-E21</f>
        <v>0</v>
      </c>
      <c r="D22" s="20">
        <f t="shared" si="2"/>
        <v>0</v>
      </c>
      <c r="E22" s="21">
        <f t="shared" si="0"/>
        <v>0</v>
      </c>
      <c r="F22" s="22">
        <f t="shared" si="3"/>
        <v>0</v>
      </c>
      <c r="G22" s="16"/>
    </row>
    <row r="23" spans="2:7" ht="15.6" x14ac:dyDescent="0.3">
      <c r="B23" s="19" t="s">
        <v>244</v>
      </c>
      <c r="C23" s="20"/>
      <c r="D23" s="23">
        <f>SUM(D16:D22)</f>
        <v>0</v>
      </c>
      <c r="E23" s="23">
        <f>SUM(E16:E22)</f>
        <v>0</v>
      </c>
      <c r="F23" s="23">
        <f>SUM(F16:F22)</f>
        <v>0</v>
      </c>
      <c r="G23" s="16"/>
    </row>
    <row r="24" spans="2:7" x14ac:dyDescent="0.3">
      <c r="F24" s="16"/>
      <c r="G24" s="16"/>
    </row>
    <row r="25" spans="2:7" x14ac:dyDescent="0.3">
      <c r="F25" s="16"/>
      <c r="G25" s="16"/>
    </row>
    <row r="26" spans="2:7" x14ac:dyDescent="0.3">
      <c r="F26" s="16"/>
      <c r="G26" s="16"/>
    </row>
    <row r="27" spans="2:7" x14ac:dyDescent="0.3">
      <c r="B27" s="152" t="s">
        <v>407</v>
      </c>
      <c r="C27" s="152"/>
      <c r="D27" s="152"/>
      <c r="E27" s="152"/>
      <c r="F27" s="152"/>
      <c r="G27" s="16"/>
    </row>
    <row r="28" spans="2:7" x14ac:dyDescent="0.3">
      <c r="B28" s="152"/>
      <c r="C28" s="152"/>
      <c r="D28" s="152"/>
      <c r="E28" s="152"/>
      <c r="F28" s="152"/>
      <c r="G28" s="16"/>
    </row>
    <row r="29" spans="2:7" x14ac:dyDescent="0.3">
      <c r="B29" s="157" t="s">
        <v>252</v>
      </c>
      <c r="C29" s="158"/>
      <c r="D29" s="158"/>
      <c r="E29" s="158"/>
      <c r="F29" s="159"/>
      <c r="G29" s="16"/>
    </row>
    <row r="30" spans="2:7" x14ac:dyDescent="0.3">
      <c r="B30" s="9" t="s">
        <v>253</v>
      </c>
      <c r="C30" s="180">
        <f>SUM('Cout et schema de financement'!G4:G6)+SUM('Cout et schema de financement'!G8:G9)</f>
        <v>0</v>
      </c>
      <c r="D30" s="181"/>
      <c r="E30" s="181"/>
      <c r="F30" s="182"/>
      <c r="G30" s="16"/>
    </row>
    <row r="31" spans="2:7" ht="28.8" x14ac:dyDescent="0.3">
      <c r="B31" s="9" t="s">
        <v>254</v>
      </c>
      <c r="C31" s="171">
        <v>7.0000000000000007E-2</v>
      </c>
      <c r="D31" s="172"/>
      <c r="E31" s="172"/>
      <c r="F31" s="173"/>
      <c r="G31" s="16"/>
    </row>
    <row r="32" spans="2:7" ht="28.8" x14ac:dyDescent="0.3">
      <c r="B32" s="9" t="s">
        <v>255</v>
      </c>
      <c r="C32" s="163">
        <v>12</v>
      </c>
      <c r="D32" s="164"/>
      <c r="E32" s="164"/>
      <c r="F32" s="165"/>
      <c r="G32" s="16"/>
    </row>
    <row r="33" spans="2:9" ht="31.2" x14ac:dyDescent="0.3">
      <c r="B33" s="19" t="s">
        <v>256</v>
      </c>
      <c r="C33" s="19" t="s">
        <v>257</v>
      </c>
      <c r="D33" s="19" t="s">
        <v>258</v>
      </c>
      <c r="E33" s="19" t="s">
        <v>259</v>
      </c>
      <c r="F33" s="19" t="s">
        <v>457</v>
      </c>
      <c r="G33" s="16"/>
      <c r="H33" s="125"/>
    </row>
    <row r="34" spans="2:9" ht="15.6" x14ac:dyDescent="0.3">
      <c r="B34" s="19">
        <v>1</v>
      </c>
      <c r="C34" s="20">
        <f>C30</f>
        <v>0</v>
      </c>
      <c r="D34" s="20">
        <f xml:space="preserve"> C34*$C$31</f>
        <v>0</v>
      </c>
      <c r="E34" s="126"/>
      <c r="F34" s="22">
        <f xml:space="preserve"> D34+E34</f>
        <v>0</v>
      </c>
      <c r="G34" s="16"/>
      <c r="H34" s="127"/>
    </row>
    <row r="35" spans="2:9" ht="15.6" x14ac:dyDescent="0.3">
      <c r="B35" s="19">
        <v>2</v>
      </c>
      <c r="C35" s="20">
        <f xml:space="preserve"> C34-E34</f>
        <v>0</v>
      </c>
      <c r="D35" s="20">
        <f t="shared" ref="D35:D37" si="4" xml:space="preserve"> C35*$C$31</f>
        <v>0</v>
      </c>
      <c r="E35" s="126"/>
      <c r="F35" s="22">
        <f xml:space="preserve"> D35+E35</f>
        <v>0</v>
      </c>
      <c r="G35" s="16"/>
      <c r="H35" s="127"/>
    </row>
    <row r="36" spans="2:9" ht="15.6" x14ac:dyDescent="0.3">
      <c r="B36" s="19">
        <v>3</v>
      </c>
      <c r="C36" s="20">
        <f t="shared" ref="C36:C45" si="5" xml:space="preserve"> C35-E35</f>
        <v>0</v>
      </c>
      <c r="D36" s="20">
        <f t="shared" si="4"/>
        <v>0</v>
      </c>
      <c r="E36" s="126"/>
      <c r="F36" s="22">
        <f xml:space="preserve"> D36+E36</f>
        <v>0</v>
      </c>
      <c r="G36" s="16"/>
      <c r="H36" s="127"/>
    </row>
    <row r="37" spans="2:9" ht="15.6" x14ac:dyDescent="0.3">
      <c r="B37" s="19">
        <v>4</v>
      </c>
      <c r="C37" s="20">
        <f t="shared" si="5"/>
        <v>0</v>
      </c>
      <c r="D37" s="20">
        <f t="shared" si="4"/>
        <v>0</v>
      </c>
      <c r="E37" s="126">
        <f>($C$34/$C$32)+($C$34/$C$32)</f>
        <v>0</v>
      </c>
      <c r="F37" s="22">
        <f xml:space="preserve"> D37+E37</f>
        <v>0</v>
      </c>
      <c r="G37" s="16"/>
      <c r="I37" s="127"/>
    </row>
    <row r="38" spans="2:9" ht="15.6" x14ac:dyDescent="0.3">
      <c r="B38" s="19">
        <v>5</v>
      </c>
      <c r="C38" s="20">
        <f t="shared" si="5"/>
        <v>0</v>
      </c>
      <c r="D38" s="20">
        <f xml:space="preserve"> C38*$C$31</f>
        <v>0</v>
      </c>
      <c r="E38" s="126">
        <f>($C$34/$C$32)+($C$34/$C$32)</f>
        <v>0</v>
      </c>
      <c r="F38" s="22">
        <f t="shared" ref="F38:F45" si="6" xml:space="preserve"> D38+E38</f>
        <v>0</v>
      </c>
      <c r="G38" s="16"/>
      <c r="H38" s="127"/>
      <c r="I38" s="127"/>
    </row>
    <row r="39" spans="2:9" ht="15.6" x14ac:dyDescent="0.3">
      <c r="B39" s="19">
        <v>6</v>
      </c>
      <c r="C39" s="20">
        <f t="shared" si="5"/>
        <v>0</v>
      </c>
      <c r="D39" s="20">
        <f xml:space="preserve"> C39*$C$31</f>
        <v>0</v>
      </c>
      <c r="E39" s="126">
        <f>($C$34/$C$32)+($C$34/$C$32)</f>
        <v>0</v>
      </c>
      <c r="F39" s="22">
        <f t="shared" si="6"/>
        <v>0</v>
      </c>
      <c r="G39" s="16"/>
    </row>
    <row r="40" spans="2:9" ht="15.6" x14ac:dyDescent="0.3">
      <c r="B40" s="19">
        <v>7</v>
      </c>
      <c r="C40" s="20">
        <f t="shared" si="5"/>
        <v>0</v>
      </c>
      <c r="D40" s="20">
        <f xml:space="preserve"> C40*$C$31</f>
        <v>0</v>
      </c>
      <c r="E40" s="126">
        <f t="shared" ref="E40:E45" si="7">$C$34/$C$32</f>
        <v>0</v>
      </c>
      <c r="F40" s="22">
        <f t="shared" si="6"/>
        <v>0</v>
      </c>
      <c r="G40" s="16"/>
    </row>
    <row r="41" spans="2:9" ht="15.6" x14ac:dyDescent="0.3">
      <c r="B41" s="19">
        <v>8</v>
      </c>
      <c r="C41" s="20">
        <f xml:space="preserve"> C40-E40</f>
        <v>0</v>
      </c>
      <c r="D41" s="20">
        <f t="shared" ref="D41:D45" si="8" xml:space="preserve"> C41*$C$31</f>
        <v>0</v>
      </c>
      <c r="E41" s="126">
        <f t="shared" si="7"/>
        <v>0</v>
      </c>
      <c r="F41" s="22">
        <f t="shared" si="6"/>
        <v>0</v>
      </c>
      <c r="G41" s="16"/>
    </row>
    <row r="42" spans="2:9" ht="15.6" x14ac:dyDescent="0.3">
      <c r="B42" s="19">
        <v>9</v>
      </c>
      <c r="C42" s="20">
        <f t="shared" si="5"/>
        <v>0</v>
      </c>
      <c r="D42" s="20">
        <f t="shared" si="8"/>
        <v>0</v>
      </c>
      <c r="E42" s="126">
        <f t="shared" si="7"/>
        <v>0</v>
      </c>
      <c r="F42" s="22">
        <f t="shared" si="6"/>
        <v>0</v>
      </c>
      <c r="G42" s="16"/>
    </row>
    <row r="43" spans="2:9" ht="15.6" x14ac:dyDescent="0.3">
      <c r="B43" s="19">
        <v>10</v>
      </c>
      <c r="C43" s="20">
        <f t="shared" si="5"/>
        <v>0</v>
      </c>
      <c r="D43" s="20">
        <f t="shared" si="8"/>
        <v>0</v>
      </c>
      <c r="E43" s="126">
        <f t="shared" si="7"/>
        <v>0</v>
      </c>
      <c r="F43" s="22">
        <f t="shared" si="6"/>
        <v>0</v>
      </c>
      <c r="G43" s="16"/>
    </row>
    <row r="44" spans="2:9" ht="15.6" x14ac:dyDescent="0.3">
      <c r="B44" s="19">
        <v>11</v>
      </c>
      <c r="C44" s="20">
        <f t="shared" si="5"/>
        <v>0</v>
      </c>
      <c r="D44" s="20">
        <f t="shared" si="8"/>
        <v>0</v>
      </c>
      <c r="E44" s="126">
        <f t="shared" si="7"/>
        <v>0</v>
      </c>
      <c r="F44" s="22">
        <f t="shared" si="6"/>
        <v>0</v>
      </c>
      <c r="G44" s="16"/>
    </row>
    <row r="45" spans="2:9" ht="15.6" x14ac:dyDescent="0.3">
      <c r="B45" s="19">
        <v>12</v>
      </c>
      <c r="C45" s="20">
        <f t="shared" si="5"/>
        <v>0</v>
      </c>
      <c r="D45" s="20">
        <f t="shared" si="8"/>
        <v>0</v>
      </c>
      <c r="E45" s="126">
        <f t="shared" si="7"/>
        <v>0</v>
      </c>
      <c r="F45" s="22">
        <f t="shared" si="6"/>
        <v>0</v>
      </c>
      <c r="G45" s="16"/>
    </row>
    <row r="46" spans="2:9" ht="15.6" x14ac:dyDescent="0.3">
      <c r="B46" s="19" t="s">
        <v>244</v>
      </c>
      <c r="C46" s="20"/>
      <c r="D46" s="23">
        <f>SUM(D34:D45)</f>
        <v>0</v>
      </c>
      <c r="E46" s="23">
        <f>SUM(E34:E45)</f>
        <v>0</v>
      </c>
      <c r="F46" s="23">
        <f>SUM(F34:F45)</f>
        <v>0</v>
      </c>
      <c r="G46" s="16"/>
    </row>
    <row r="47" spans="2:9" x14ac:dyDescent="0.3">
      <c r="B47" s="16"/>
      <c r="C47" s="16"/>
      <c r="D47" s="16"/>
      <c r="E47" s="16"/>
      <c r="F47" s="16"/>
      <c r="G47" s="16"/>
    </row>
    <row r="48" spans="2:9" x14ac:dyDescent="0.3">
      <c r="B48" s="16"/>
      <c r="C48" s="16"/>
      <c r="D48" s="16"/>
      <c r="E48" s="16"/>
      <c r="F48" s="16"/>
      <c r="G48" s="16"/>
    </row>
    <row r="49" spans="2:7" x14ac:dyDescent="0.3">
      <c r="B49" s="16"/>
      <c r="C49" s="16"/>
      <c r="D49" s="16"/>
      <c r="E49" s="16"/>
      <c r="F49" s="16"/>
      <c r="G49" s="16"/>
    </row>
    <row r="50" spans="2:7" x14ac:dyDescent="0.3">
      <c r="B50" s="157" t="s">
        <v>261</v>
      </c>
      <c r="C50" s="158"/>
      <c r="D50" s="158"/>
      <c r="E50" s="158"/>
      <c r="F50" s="159"/>
      <c r="G50" s="16"/>
    </row>
    <row r="51" spans="2:7" x14ac:dyDescent="0.3">
      <c r="B51" s="167"/>
      <c r="C51" s="167"/>
      <c r="D51" s="167"/>
      <c r="E51" s="167"/>
      <c r="F51" s="167"/>
      <c r="G51" s="16"/>
    </row>
    <row r="52" spans="2:7" x14ac:dyDescent="0.3">
      <c r="B52" s="168"/>
      <c r="C52" s="168"/>
      <c r="D52" s="168"/>
      <c r="E52" s="168"/>
      <c r="F52" s="168"/>
      <c r="G52" s="16"/>
    </row>
    <row r="53" spans="2:7" x14ac:dyDescent="0.3">
      <c r="B53" s="9" t="s">
        <v>262</v>
      </c>
      <c r="C53" s="26">
        <f>'Cout et schema de financement'!F11</f>
        <v>0</v>
      </c>
      <c r="D53" s="169"/>
      <c r="E53" s="168"/>
      <c r="F53" s="168"/>
      <c r="G53" s="16"/>
    </row>
    <row r="54" spans="2:7" ht="28.8" x14ac:dyDescent="0.3">
      <c r="B54" s="9" t="s">
        <v>263</v>
      </c>
      <c r="C54" s="30">
        <v>0.1</v>
      </c>
      <c r="D54" s="169"/>
      <c r="E54" s="168"/>
      <c r="F54" s="168"/>
      <c r="G54" s="16"/>
    </row>
    <row r="55" spans="2:7" ht="28.8" x14ac:dyDescent="0.3">
      <c r="B55" s="9" t="s">
        <v>264</v>
      </c>
      <c r="C55" s="9">
        <v>5</v>
      </c>
      <c r="D55" s="169"/>
      <c r="E55" s="168"/>
      <c r="F55" s="168"/>
      <c r="G55" s="16"/>
    </row>
    <row r="56" spans="2:7" x14ac:dyDescent="0.3">
      <c r="B56" s="168"/>
      <c r="C56" s="168"/>
      <c r="D56" s="168"/>
      <c r="E56" s="168"/>
      <c r="F56" s="168"/>
      <c r="G56" s="16"/>
    </row>
    <row r="57" spans="2:7" x14ac:dyDescent="0.3">
      <c r="B57" s="168"/>
      <c r="C57" s="168"/>
      <c r="D57" s="168"/>
      <c r="E57" s="168"/>
      <c r="F57" s="168"/>
      <c r="G57" s="16"/>
    </row>
    <row r="58" spans="2:7" x14ac:dyDescent="0.3">
      <c r="B58" s="170"/>
      <c r="C58" s="170"/>
      <c r="D58" s="170"/>
      <c r="E58" s="170"/>
      <c r="F58" s="170"/>
      <c r="G58" s="16"/>
    </row>
    <row r="59" spans="2:7" ht="31.2" x14ac:dyDescent="0.3">
      <c r="B59" s="19" t="s">
        <v>256</v>
      </c>
      <c r="C59" s="19" t="s">
        <v>257</v>
      </c>
      <c r="D59" s="19" t="s">
        <v>258</v>
      </c>
      <c r="E59" s="19" t="s">
        <v>259</v>
      </c>
      <c r="F59" s="19" t="s">
        <v>265</v>
      </c>
      <c r="G59" s="19" t="s">
        <v>266</v>
      </c>
    </row>
    <row r="60" spans="2:7" ht="15.6" x14ac:dyDescent="0.3">
      <c r="B60" s="25">
        <v>1</v>
      </c>
      <c r="C60" s="20">
        <f>C53</f>
        <v>0</v>
      </c>
      <c r="D60" s="20">
        <f>C60*$C$54</f>
        <v>0</v>
      </c>
      <c r="E60" s="21">
        <f>$C$53/$C$55</f>
        <v>0</v>
      </c>
      <c r="F60" s="22">
        <f xml:space="preserve"> D60+E60</f>
        <v>0</v>
      </c>
      <c r="G60" s="29">
        <f t="shared" ref="G60:G66" si="9">F60/655.957</f>
        <v>0</v>
      </c>
    </row>
    <row r="61" spans="2:7" ht="15.6" x14ac:dyDescent="0.3">
      <c r="B61" s="25" t="s">
        <v>267</v>
      </c>
      <c r="C61" s="20">
        <f>C60-E60</f>
        <v>0</v>
      </c>
      <c r="D61" s="20">
        <f t="shared" ref="D61:D66" si="10">C61*$C$54</f>
        <v>0</v>
      </c>
      <c r="E61" s="21">
        <f t="shared" ref="E61:E65" si="11">$C$53/$C$55</f>
        <v>0</v>
      </c>
      <c r="F61" s="22">
        <f xml:space="preserve"> D61+E61</f>
        <v>0</v>
      </c>
      <c r="G61" s="29">
        <f t="shared" si="9"/>
        <v>0</v>
      </c>
    </row>
    <row r="62" spans="2:7" ht="15.6" x14ac:dyDescent="0.3">
      <c r="B62" s="25" t="s">
        <v>268</v>
      </c>
      <c r="C62" s="20">
        <f t="shared" ref="C62:C66" si="12">C61-E61</f>
        <v>0</v>
      </c>
      <c r="D62" s="20">
        <f>C62*$C$54</f>
        <v>0</v>
      </c>
      <c r="E62" s="21">
        <f t="shared" si="11"/>
        <v>0</v>
      </c>
      <c r="F62" s="22">
        <f xml:space="preserve"> D62+E62</f>
        <v>0</v>
      </c>
      <c r="G62" s="29">
        <f t="shared" si="9"/>
        <v>0</v>
      </c>
    </row>
    <row r="63" spans="2:7" ht="15.6" x14ac:dyDescent="0.3">
      <c r="B63" s="25">
        <v>4</v>
      </c>
      <c r="C63" s="20">
        <f t="shared" si="12"/>
        <v>0</v>
      </c>
      <c r="D63" s="20">
        <f t="shared" si="10"/>
        <v>0</v>
      </c>
      <c r="E63" s="21">
        <f t="shared" si="11"/>
        <v>0</v>
      </c>
      <c r="F63" s="22">
        <f xml:space="preserve"> D63+E63</f>
        <v>0</v>
      </c>
      <c r="G63" s="29">
        <f t="shared" si="9"/>
        <v>0</v>
      </c>
    </row>
    <row r="64" spans="2:7" ht="15.6" x14ac:dyDescent="0.3">
      <c r="B64" s="25">
        <v>5</v>
      </c>
      <c r="C64" s="20">
        <f t="shared" si="12"/>
        <v>0</v>
      </c>
      <c r="D64" s="20">
        <f t="shared" si="10"/>
        <v>0</v>
      </c>
      <c r="E64" s="21">
        <f t="shared" si="11"/>
        <v>0</v>
      </c>
      <c r="F64" s="22">
        <f xml:space="preserve"> D64+E64</f>
        <v>0</v>
      </c>
      <c r="G64" s="29">
        <f t="shared" si="9"/>
        <v>0</v>
      </c>
    </row>
    <row r="65" spans="2:7" ht="15.6" x14ac:dyDescent="0.3">
      <c r="B65" s="25">
        <v>6</v>
      </c>
      <c r="C65" s="20">
        <f t="shared" si="12"/>
        <v>0</v>
      </c>
      <c r="D65" s="20">
        <f t="shared" si="10"/>
        <v>0</v>
      </c>
      <c r="E65" s="21">
        <f t="shared" si="11"/>
        <v>0</v>
      </c>
      <c r="F65" s="22">
        <f t="shared" ref="F65:F66" si="13" xml:space="preserve"> D65+E65</f>
        <v>0</v>
      </c>
      <c r="G65" s="29">
        <f t="shared" si="9"/>
        <v>0</v>
      </c>
    </row>
    <row r="66" spans="2:7" ht="15.6" x14ac:dyDescent="0.3">
      <c r="B66" s="25">
        <v>7</v>
      </c>
      <c r="C66" s="20">
        <f t="shared" si="12"/>
        <v>0</v>
      </c>
      <c r="D66" s="20">
        <f t="shared" si="10"/>
        <v>0</v>
      </c>
      <c r="E66" s="21">
        <f>$C$53/$C$55</f>
        <v>0</v>
      </c>
      <c r="F66" s="22">
        <f t="shared" si="13"/>
        <v>0</v>
      </c>
      <c r="G66" s="29">
        <f t="shared" si="9"/>
        <v>0</v>
      </c>
    </row>
    <row r="67" spans="2:7" ht="15.6" x14ac:dyDescent="0.3">
      <c r="B67" s="19" t="s">
        <v>244</v>
      </c>
      <c r="C67" s="22"/>
      <c r="D67" s="22">
        <f>SUM(D60:D66)</f>
        <v>0</v>
      </c>
      <c r="E67" s="22">
        <f>SUM(E60:E66)</f>
        <v>0</v>
      </c>
      <c r="F67" s="22">
        <f t="shared" ref="F67:G67" si="14">SUM(F60:F66)</f>
        <v>0</v>
      </c>
      <c r="G67" s="22">
        <f t="shared" si="14"/>
        <v>0</v>
      </c>
    </row>
  </sheetData>
  <mergeCells count="16">
    <mergeCell ref="B51:F52"/>
    <mergeCell ref="D53:F55"/>
    <mergeCell ref="B56:F58"/>
    <mergeCell ref="C31:F31"/>
    <mergeCell ref="C13:F13"/>
    <mergeCell ref="C14:F14"/>
    <mergeCell ref="C30:F30"/>
    <mergeCell ref="B50:F50"/>
    <mergeCell ref="B11:F11"/>
    <mergeCell ref="C12:F12"/>
    <mergeCell ref="C32:F32"/>
    <mergeCell ref="B10:F10"/>
    <mergeCell ref="B2:C2"/>
    <mergeCell ref="B6:C6"/>
    <mergeCell ref="B27:F28"/>
    <mergeCell ref="B29:F29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0000"/>
  </sheetPr>
  <dimension ref="B1:J19"/>
  <sheetViews>
    <sheetView workbookViewId="0">
      <selection activeCell="E19" sqref="E19"/>
    </sheetView>
  </sheetViews>
  <sheetFormatPr baseColWidth="10" defaultRowHeight="14.4" x14ac:dyDescent="0.3"/>
  <cols>
    <col min="3" max="3" width="17" customWidth="1"/>
    <col min="4" max="4" width="13.5546875" customWidth="1"/>
    <col min="5" max="5" width="14" customWidth="1"/>
    <col min="6" max="6" width="14.6640625" customWidth="1"/>
    <col min="7" max="7" width="14.88671875" customWidth="1"/>
  </cols>
  <sheetData>
    <row r="1" spans="2:10" ht="15" thickBot="1" x14ac:dyDescent="0.35">
      <c r="J1" t="s">
        <v>397</v>
      </c>
    </row>
    <row r="2" spans="2:10" ht="15" thickBot="1" x14ac:dyDescent="0.35">
      <c r="B2" s="31" t="s">
        <v>271</v>
      </c>
      <c r="C2" s="32" t="s">
        <v>12</v>
      </c>
      <c r="D2" s="32" t="s">
        <v>25</v>
      </c>
      <c r="E2" s="32" t="s">
        <v>38</v>
      </c>
      <c r="F2" s="32" t="s">
        <v>51</v>
      </c>
      <c r="G2" s="32" t="s">
        <v>64</v>
      </c>
    </row>
    <row r="3" spans="2:10" ht="42" thickBot="1" x14ac:dyDescent="0.35">
      <c r="B3" s="33" t="s">
        <v>272</v>
      </c>
      <c r="C3" s="34">
        <f>'Chiffre d''affaires prévisionnel'!O22</f>
        <v>12950000</v>
      </c>
      <c r="D3" s="34">
        <f>'Chiffre d''affaires prévisionnel'!AB22</f>
        <v>32725000</v>
      </c>
      <c r="E3" s="34">
        <f>'Chiffre d''affaires prévisionnel'!AO22</f>
        <v>65949015.66862426</v>
      </c>
      <c r="F3" s="34">
        <f>'Chiffre d''affaires prévisionnel'!BB22</f>
        <v>0</v>
      </c>
      <c r="G3" s="34">
        <f>'Chiffre d''affaires prévisionnel'!BO22</f>
        <v>0</v>
      </c>
    </row>
    <row r="4" spans="2:10" ht="55.8" thickBot="1" x14ac:dyDescent="0.35">
      <c r="B4" s="35" t="s">
        <v>273</v>
      </c>
      <c r="C4" s="36">
        <f>'Charges variables'!N23</f>
        <v>9445000</v>
      </c>
      <c r="D4" s="36">
        <f>'Charges variables'!AA23</f>
        <v>20120625</v>
      </c>
      <c r="E4" s="36">
        <f>'Charges variables'!AN23</f>
        <v>34796591.950009272</v>
      </c>
      <c r="F4" s="36">
        <f>'Charges variables'!BA23</f>
        <v>0</v>
      </c>
      <c r="G4" s="36">
        <f>'Charges variables'!BN23</f>
        <v>0</v>
      </c>
    </row>
    <row r="5" spans="2:10" ht="15" thickBot="1" x14ac:dyDescent="0.35">
      <c r="B5" s="37" t="s">
        <v>274</v>
      </c>
      <c r="C5" s="38">
        <f>C3-C4</f>
        <v>3505000</v>
      </c>
      <c r="D5" s="38">
        <f>D3-D4</f>
        <v>12604375</v>
      </c>
      <c r="E5" s="38">
        <f>E3-E4</f>
        <v>31152423.718614988</v>
      </c>
      <c r="F5" s="38">
        <f>F3-F4</f>
        <v>0</v>
      </c>
      <c r="G5" s="38">
        <f>G3-G4</f>
        <v>0</v>
      </c>
    </row>
    <row r="6" spans="2:10" ht="55.8" thickBot="1" x14ac:dyDescent="0.35">
      <c r="B6" s="35" t="s">
        <v>275</v>
      </c>
      <c r="C6" s="39">
        <f>C5/C3</f>
        <v>0.27065637065637066</v>
      </c>
      <c r="D6" s="39">
        <f t="shared" ref="D6:G6" si="0">D5/D3</f>
        <v>0.38516042780748661</v>
      </c>
      <c r="E6" s="39">
        <f t="shared" si="0"/>
        <v>0.47237132203985249</v>
      </c>
      <c r="F6" s="39" t="e">
        <f t="shared" si="0"/>
        <v>#DIV/0!</v>
      </c>
      <c r="G6" s="39" t="e">
        <f t="shared" si="0"/>
        <v>#DIV/0!</v>
      </c>
    </row>
    <row r="7" spans="2:10" ht="41.4" x14ac:dyDescent="0.3">
      <c r="B7" s="40" t="s">
        <v>276</v>
      </c>
      <c r="C7" s="51">
        <f>'Charges fixes'!N24-'Charges fixes'!N15-'Charges fixes'!N16-'Charges fixes'!N17</f>
        <v>4556981.25</v>
      </c>
      <c r="D7" s="41">
        <f>'Charges fixes'!AA24-D9-'Charges fixes'!AA15-'Charges fixes'!AA16-'Charges fixes'!AA17</f>
        <v>-1451140.1475000011</v>
      </c>
      <c r="E7" s="51">
        <f>'Charges fixes'!AN24-'Charges fixes'!AN15-'Charges fixes'!AN16-'Charges fixes'!AN17</f>
        <v>4574832.9749999996</v>
      </c>
      <c r="F7" s="51">
        <f>+'Charges fixes'!BA24-'Charges fixes'!BA15-'Charges fixes'!BA16-'Charges fixes'!BA17</f>
        <v>482753.0405</v>
      </c>
      <c r="G7" s="51">
        <f>+'Charges fixes'!BN24-'Charges fixes'!BN15-'Charges fixes'!BN16-'Charges fixes'!BN17</f>
        <v>1380924.4678</v>
      </c>
    </row>
    <row r="8" spans="2:10" ht="28.2" thickBot="1" x14ac:dyDescent="0.35">
      <c r="B8" s="33" t="s">
        <v>277</v>
      </c>
      <c r="C8" s="52">
        <f>C5-C7</f>
        <v>-1051981.25</v>
      </c>
      <c r="D8" s="34">
        <f>D5-D7</f>
        <v>14055515.147500001</v>
      </c>
      <c r="E8" s="52">
        <f>E5-E7</f>
        <v>26577590.743614987</v>
      </c>
      <c r="F8" s="52">
        <f>F5-F7</f>
        <v>-482753.0405</v>
      </c>
      <c r="G8" s="52">
        <f t="shared" ref="G8" si="1">G5-G7</f>
        <v>-1380924.4678</v>
      </c>
    </row>
    <row r="9" spans="2:10" ht="28.2" thickBot="1" x14ac:dyDescent="0.35">
      <c r="B9" s="35" t="s">
        <v>278</v>
      </c>
      <c r="C9" s="36">
        <f>+'Charges fixes'!N15+'Charges fixes'!N16</f>
        <v>6000000</v>
      </c>
      <c r="D9" s="36">
        <f>'Charges fixes'!AA15+'Charges fixes'!AA16</f>
        <v>6000000</v>
      </c>
      <c r="E9" s="36">
        <f>'Charges fixes'!AN15+'Charges fixes'!AN16</f>
        <v>6000000</v>
      </c>
      <c r="F9" s="36">
        <f>'Charges fixes'!BA15+'Charges fixes'!BA16</f>
        <v>0</v>
      </c>
      <c r="G9" s="36">
        <f>'Charges fixes'!BN15+'Charges fixes'!BN16</f>
        <v>0</v>
      </c>
    </row>
    <row r="10" spans="2:10" ht="28.2" thickBot="1" x14ac:dyDescent="0.35">
      <c r="B10" s="35" t="s">
        <v>279</v>
      </c>
      <c r="C10" s="36">
        <f>'Charges fixes'!N7+'Charges fixes'!N8+'Charges fixes'!N9+'Charges fixes'!N10+'Charges fixes'!N11+'Charges fixes'!N12+'Charges fixes'!N13+'Charges fixes'!N14+'Charges fixes'!N17</f>
        <v>2622981.25</v>
      </c>
      <c r="D10" s="36">
        <f>'Charges fixes'!AA7+'Charges fixes'!AA8+'Charges fixes'!AA9+'Charges fixes'!AA10+'Charges fixes'!AA11+'Charges fixes'!AA12+'Charges fixes'!AA13+'Charges fixes'!AA14+'Charges fixes'!AA17</f>
        <v>2614859.8525</v>
      </c>
      <c r="E10" s="53">
        <f>'Charges fixes'!AN7+'Charges fixes'!AN8+'Charges fixes'!AN9+'Charges fixes'!AN10+'Charges fixes'!AN11+'Charges fixes'!AN12+'Charges fixes'!AN13+'Charges fixes'!AN14+'Charges fixes'!AN17</f>
        <v>2640832.9750000001</v>
      </c>
      <c r="F10" s="53">
        <f>'Charges fixes'!BA7+'Charges fixes'!BA8+'Charges fixes'!BA9+'Charges fixes'!BA10+'Charges fixes'!BA11+'Charges fixes'!BA12+'Charges fixes'!BA13+'Charges fixes'!BA14+'Charges fixes'!BA17</f>
        <v>482753.0405</v>
      </c>
      <c r="G10" s="53">
        <f>'Charges fixes'!BN7+'Charges fixes'!BN8+'Charges fixes'!BN9+'Charges fixes'!BN10+'Charges fixes'!BN11+'Charges fixes'!BN12+'Charges fixes'!BN13+'Charges fixes'!BN14+'Charges fixes'!BN17</f>
        <v>1380924.4678</v>
      </c>
    </row>
    <row r="11" spans="2:10" ht="55.8" thickBot="1" x14ac:dyDescent="0.35">
      <c r="B11" s="42" t="s">
        <v>280</v>
      </c>
      <c r="C11" s="43">
        <f>C8-C9-C10</f>
        <v>-9674962.5</v>
      </c>
      <c r="D11" s="43">
        <f t="shared" ref="D11:E11" si="2">D8-D9-D10</f>
        <v>5440655.2950000009</v>
      </c>
      <c r="E11" s="43">
        <f t="shared" si="2"/>
        <v>17936757.768614985</v>
      </c>
      <c r="F11" s="43">
        <f>F8-F9-F10</f>
        <v>-965506.08100000001</v>
      </c>
      <c r="G11" s="43">
        <f>G8-G9-G10</f>
        <v>-2761848.9356</v>
      </c>
    </row>
    <row r="12" spans="2:10" ht="55.8" thickBot="1" x14ac:dyDescent="0.35">
      <c r="B12" s="44" t="s">
        <v>281</v>
      </c>
      <c r="C12" s="45">
        <f>'tableau des amortissements'!$E$4+'tableau des amortissements'!$E$14+'tableau des amortissements'!$L$4+'tableau des amortissements'!$L$18</f>
        <v>3450000</v>
      </c>
      <c r="D12" s="45">
        <f>'tableau des amortissements'!$E$4+'tableau des amortissements'!$E$14+'tableau des amortissements'!$L$4+'tableau des amortissements'!$L$18</f>
        <v>3450000</v>
      </c>
      <c r="E12" s="45">
        <f>'tableau des amortissements'!$E$4+'tableau des amortissements'!$E$14+'tableau des amortissements'!$L$4+'tableau des amortissements'!$L$18</f>
        <v>3450000</v>
      </c>
      <c r="F12" s="45">
        <f>'tableau des amortissements'!$E$4+'tableau des amortissements'!$E$14+'tableau des amortissements'!$L$4+'tableau des amortissements'!$L$18</f>
        <v>3450000</v>
      </c>
      <c r="G12" s="45">
        <f>'tableau des amortissements'!$E$4+'tableau des amortissements'!$E$14+'tableau des amortissements'!$L$4+'tableau des amortissements'!$L$18</f>
        <v>3450000</v>
      </c>
    </row>
    <row r="13" spans="2:10" ht="42" thickBot="1" x14ac:dyDescent="0.35">
      <c r="B13" s="107" t="s">
        <v>282</v>
      </c>
      <c r="C13" s="46">
        <f>C11-C12</f>
        <v>-13124962.5</v>
      </c>
      <c r="D13" s="46">
        <f t="shared" ref="D13:G13" si="3">D11-D12</f>
        <v>1990655.2950000009</v>
      </c>
      <c r="E13" s="46">
        <f t="shared" si="3"/>
        <v>14486757.768614985</v>
      </c>
      <c r="F13" s="46">
        <f t="shared" si="3"/>
        <v>-4415506.0810000002</v>
      </c>
      <c r="G13" s="46">
        <f t="shared" si="3"/>
        <v>-6211848.9355999995</v>
      </c>
    </row>
    <row r="14" spans="2:10" ht="28.2" thickBot="1" x14ac:dyDescent="0.35">
      <c r="B14" s="44" t="s">
        <v>283</v>
      </c>
      <c r="C14" s="47"/>
      <c r="D14" s="47"/>
      <c r="E14" s="47"/>
      <c r="F14" s="47"/>
      <c r="G14" s="47"/>
    </row>
    <row r="15" spans="2:10" ht="28.2" thickBot="1" x14ac:dyDescent="0.35">
      <c r="B15" s="44" t="s">
        <v>284</v>
      </c>
      <c r="C15" s="47">
        <f>'Calculs financiers'!D16+'Calculs financiers'!D34+'Calculs financiers'!D60</f>
        <v>0</v>
      </c>
      <c r="D15" s="47">
        <f>'Calculs financiers'!D17+'Calculs financiers'!D35+'Calculs financiers'!D61</f>
        <v>0</v>
      </c>
      <c r="E15" s="47">
        <f>'Calculs financiers'!D18+'Calculs financiers'!D36+'Calculs financiers'!D62</f>
        <v>0</v>
      </c>
      <c r="F15" s="47">
        <f>'Calculs financiers'!D19+'Calculs financiers'!D37+'Calculs financiers'!D63</f>
        <v>0</v>
      </c>
      <c r="G15" s="47">
        <f>'Calculs financiers'!D20+'Calculs financiers'!D38+'Calculs financiers'!D64</f>
        <v>0</v>
      </c>
    </row>
    <row r="16" spans="2:10" ht="28.2" thickBot="1" x14ac:dyDescent="0.35">
      <c r="B16" s="108" t="s">
        <v>285</v>
      </c>
      <c r="C16" s="50">
        <f>C14-C15</f>
        <v>0</v>
      </c>
      <c r="D16" s="36">
        <f>D14-D15</f>
        <v>0</v>
      </c>
      <c r="E16" s="36">
        <f>'Calculs financiers'!D18+'Calculs financiers'!D36+'Calculs financiers'!D62</f>
        <v>0</v>
      </c>
      <c r="F16" s="36">
        <f>F14-F15</f>
        <v>0</v>
      </c>
      <c r="G16" s="36">
        <f>G14-G15</f>
        <v>0</v>
      </c>
    </row>
    <row r="17" spans="2:7" ht="28.2" thickBot="1" x14ac:dyDescent="0.35">
      <c r="B17" s="48" t="s">
        <v>286</v>
      </c>
      <c r="C17" s="49">
        <f>C13+C16</f>
        <v>-13124962.5</v>
      </c>
      <c r="D17" s="49">
        <f t="shared" ref="D17:G17" si="4">D13+D16</f>
        <v>1990655.2950000009</v>
      </c>
      <c r="E17" s="49">
        <f t="shared" si="4"/>
        <v>14486757.768614985</v>
      </c>
      <c r="F17" s="49">
        <f t="shared" si="4"/>
        <v>-4415506.0810000002</v>
      </c>
      <c r="G17" s="49">
        <f t="shared" si="4"/>
        <v>-6211848.9355999995</v>
      </c>
    </row>
    <row r="18" spans="2:7" ht="15" thickBot="1" x14ac:dyDescent="0.35">
      <c r="B18" s="35" t="s">
        <v>287</v>
      </c>
      <c r="C18" s="50">
        <f>C17*'Impots et taxes'!$B$25</f>
        <v>-3937488.75</v>
      </c>
      <c r="D18" s="50">
        <f>D17*'Impots et taxes'!$B$25</f>
        <v>597196.58850000019</v>
      </c>
      <c r="E18" s="50">
        <f>E17*'Impots et taxes'!$B$25</f>
        <v>4346027.3305844953</v>
      </c>
      <c r="F18" s="50">
        <f>F17*'Impots et taxes'!$B$25</f>
        <v>-1324651.8243</v>
      </c>
      <c r="G18" s="50">
        <f>G17*'Impots et taxes'!$B$25</f>
        <v>-1863554.6806799998</v>
      </c>
    </row>
    <row r="19" spans="2:7" ht="15" thickBot="1" x14ac:dyDescent="0.35">
      <c r="B19" s="33" t="s">
        <v>288</v>
      </c>
      <c r="C19" s="46">
        <f>C17-C18</f>
        <v>-9187473.75</v>
      </c>
      <c r="D19" s="46">
        <f t="shared" ref="D19:G19" si="5">D17-D18</f>
        <v>1393458.7065000008</v>
      </c>
      <c r="E19" s="46">
        <f t="shared" si="5"/>
        <v>10140730.438030489</v>
      </c>
      <c r="F19" s="46">
        <f t="shared" si="5"/>
        <v>-3090854.2567000003</v>
      </c>
      <c r="G19" s="46">
        <f t="shared" si="5"/>
        <v>-4348294.2549200002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0000"/>
  </sheetPr>
  <dimension ref="B3:M27"/>
  <sheetViews>
    <sheetView topLeftCell="A5" zoomScaleNormal="100" workbookViewId="0">
      <selection activeCell="C22" sqref="C22"/>
    </sheetView>
  </sheetViews>
  <sheetFormatPr baseColWidth="10" defaultRowHeight="14.4" x14ac:dyDescent="0.3"/>
  <cols>
    <col min="3" max="3" width="14.5546875" customWidth="1"/>
    <col min="8" max="9" width="14.5546875" customWidth="1"/>
    <col min="11" max="11" width="11.6640625" bestFit="1" customWidth="1"/>
    <col min="12" max="12" width="13.33203125" customWidth="1"/>
    <col min="13" max="13" width="13.44140625" customWidth="1"/>
  </cols>
  <sheetData>
    <row r="3" spans="2:13" ht="15" thickBot="1" x14ac:dyDescent="0.35">
      <c r="B3" s="54" t="s">
        <v>289</v>
      </c>
      <c r="C3" s="55"/>
      <c r="D3" s="55"/>
      <c r="E3" s="55"/>
      <c r="F3" s="55"/>
      <c r="G3" s="55"/>
    </row>
    <row r="4" spans="2:13" ht="16.2" thickBot="1" x14ac:dyDescent="0.35">
      <c r="B4" s="54"/>
      <c r="C4" s="56" t="s">
        <v>290</v>
      </c>
      <c r="D4" s="56" t="s">
        <v>291</v>
      </c>
      <c r="E4" s="56" t="s">
        <v>292</v>
      </c>
      <c r="F4" s="56" t="s">
        <v>293</v>
      </c>
      <c r="G4" s="56" t="s">
        <v>294</v>
      </c>
      <c r="I4" s="121" t="s">
        <v>446</v>
      </c>
      <c r="J4" s="121" t="s">
        <v>447</v>
      </c>
      <c r="K4" s="121" t="s">
        <v>448</v>
      </c>
      <c r="L4" s="121" t="s">
        <v>449</v>
      </c>
      <c r="M4" s="121" t="s">
        <v>450</v>
      </c>
    </row>
    <row r="5" spans="2:13" x14ac:dyDescent="0.3">
      <c r="B5" s="57" t="s">
        <v>295</v>
      </c>
      <c r="C5" s="58">
        <f>C27-C12-C7-C6</f>
        <v>-21969377.5</v>
      </c>
      <c r="D5" s="58">
        <f t="shared" ref="D5:G5" si="0">D27-D12-D7-D6</f>
        <v>-3419855.5729999989</v>
      </c>
      <c r="E5" s="58">
        <f t="shared" si="0"/>
        <v>4543982.6706754379</v>
      </c>
      <c r="F5" s="58">
        <f t="shared" si="0"/>
        <v>3802411.7459304896</v>
      </c>
      <c r="G5" s="58">
        <f t="shared" si="0"/>
        <v>-366248.2235295102</v>
      </c>
      <c r="I5" s="120">
        <f>(C7+C6)-(C16+C17)</f>
        <v>-768096.25</v>
      </c>
      <c r="J5" s="120">
        <f>(D7+D6)-(D16+D17)</f>
        <v>75840.529500000179</v>
      </c>
      <c r="K5" s="120">
        <f>(E7+E6)-(E16+E17)</f>
        <v>2252732.723855054</v>
      </c>
      <c r="L5" s="120">
        <f>(F7+F6)-(F16+F17)</f>
        <v>-96550.608100000012</v>
      </c>
      <c r="M5" s="120">
        <f>(G7+G6)-(G16+G17)</f>
        <v>-276184.89356</v>
      </c>
    </row>
    <row r="6" spans="2:13" ht="31.2" x14ac:dyDescent="0.3">
      <c r="B6" s="57" t="s">
        <v>296</v>
      </c>
      <c r="C6" s="58">
        <f>'Compte d''exploitation prév'!C3*'Chiffre d''affaires prévisionnel'!$B$25</f>
        <v>2590000</v>
      </c>
      <c r="D6" s="58">
        <f>'Compte d''exploitation prév'!D3*'Chiffre d''affaires prévisionnel'!$B$25</f>
        <v>6545000</v>
      </c>
      <c r="E6" s="58">
        <f>'Compte d''exploitation prév'!E3*'Chiffre d''affaires prévisionnel'!$B$25</f>
        <v>13189803.133724853</v>
      </c>
      <c r="F6" s="58">
        <f>'Compte d''exploitation prév'!F3*'Chiffre d''affaires prévisionnel'!$B$25</f>
        <v>0</v>
      </c>
      <c r="G6" s="58">
        <f>'Compte d''exploitation prév'!G3*'Chiffre d''affaires prévisionnel'!$B$25</f>
        <v>0</v>
      </c>
      <c r="I6" s="2"/>
      <c r="J6" s="122" t="s">
        <v>454</v>
      </c>
      <c r="K6" s="122" t="s">
        <v>451</v>
      </c>
      <c r="L6" s="122" t="s">
        <v>452</v>
      </c>
      <c r="M6" s="122" t="s">
        <v>453</v>
      </c>
    </row>
    <row r="7" spans="2:13" x14ac:dyDescent="0.3">
      <c r="B7" s="57" t="s">
        <v>297</v>
      </c>
      <c r="C7" s="59">
        <f>SUM('Charges variables'!N4:N5)</f>
        <v>0</v>
      </c>
      <c r="D7" s="59">
        <f>SUM('Charges variables'!AA4:AA5)</f>
        <v>90000</v>
      </c>
      <c r="E7" s="59">
        <f>SUM('Charges variables'!AN4:AN5)</f>
        <v>30073.770132982347</v>
      </c>
      <c r="F7" s="59">
        <f>SUM('Charges variables'!BA4:BA5)</f>
        <v>0</v>
      </c>
      <c r="G7" s="59">
        <f>SUM('Charges variables'!BN4:BN5)</f>
        <v>0</v>
      </c>
      <c r="I7" s="1"/>
      <c r="J7" s="120">
        <f>J5-I5</f>
        <v>843936.77950000018</v>
      </c>
      <c r="K7" s="120">
        <f>K5-J5</f>
        <v>2176892.1943550538</v>
      </c>
      <c r="L7" s="120">
        <f t="shared" ref="L7:M7" si="1">L5-K5</f>
        <v>-2349283.3319550538</v>
      </c>
      <c r="M7" s="120">
        <f t="shared" si="1"/>
        <v>-179634.28545999998</v>
      </c>
    </row>
    <row r="8" spans="2:13" ht="15" thickBot="1" x14ac:dyDescent="0.35">
      <c r="B8" s="60" t="s">
        <v>298</v>
      </c>
      <c r="C8" s="61">
        <f>+C5+C6+C7</f>
        <v>-19379377.5</v>
      </c>
      <c r="D8" s="61">
        <f>+D5+D6+D7</f>
        <v>3215144.4270000011</v>
      </c>
      <c r="E8" s="61">
        <f>+E5+E6+E7</f>
        <v>17763859.574533273</v>
      </c>
      <c r="F8" s="61">
        <f>+F5+F6+F7</f>
        <v>3802411.7459304896</v>
      </c>
      <c r="G8" s="61">
        <f>+G5+G6+G7</f>
        <v>-366248.2235295102</v>
      </c>
    </row>
    <row r="9" spans="2:13" x14ac:dyDescent="0.3">
      <c r="B9" s="62"/>
      <c r="C9" s="59"/>
      <c r="D9" s="59"/>
      <c r="E9" s="59"/>
      <c r="F9" s="59"/>
      <c r="G9" s="59"/>
    </row>
    <row r="10" spans="2:13" x14ac:dyDescent="0.3">
      <c r="B10" s="57" t="s">
        <v>299</v>
      </c>
      <c r="C10" s="58">
        <f>'Liste des investissements'!N61</f>
        <v>18000000</v>
      </c>
      <c r="D10" s="58">
        <f>'Liste des investissements'!AA61</f>
        <v>0</v>
      </c>
      <c r="E10" s="58">
        <f>'Liste des investissements'!AN61</f>
        <v>0</v>
      </c>
      <c r="F10" s="58">
        <f>'Liste des investissements'!BA61</f>
        <v>0</v>
      </c>
      <c r="G10" s="58">
        <f>'Liste des investissements'!BN61</f>
        <v>0</v>
      </c>
    </row>
    <row r="11" spans="2:13" x14ac:dyDescent="0.3">
      <c r="B11" s="57" t="s">
        <v>300</v>
      </c>
      <c r="C11" s="58">
        <f>'tableau des amortissements'!$E$4+'tableau des amortissements'!$E$14+'tableau des amortissements'!$L$4+'tableau des amortissements'!$L$18</f>
        <v>3450000</v>
      </c>
      <c r="D11" s="58">
        <f>'tableau des amortissements'!$E$4+'tableau des amortissements'!$E$14+'tableau des amortissements'!$L$4+'tableau des amortissements'!$L$18</f>
        <v>3450000</v>
      </c>
      <c r="E11" s="58">
        <f>'tableau des amortissements'!$E$4+'tableau des amortissements'!$E$14+'tableau des amortissements'!$L$4+'tableau des amortissements'!$L$18</f>
        <v>3450000</v>
      </c>
      <c r="F11" s="58">
        <f>'tableau des amortissements'!$E$4+'tableau des amortissements'!$E$14+'tableau des amortissements'!$L$4+'tableau des amortissements'!$L$18</f>
        <v>3450000</v>
      </c>
      <c r="G11" s="58">
        <f>'tableau des amortissements'!$E$4+'tableau des amortissements'!$E$14+'tableau des amortissements'!$L$4+'tableau des amortissements'!$L$18</f>
        <v>3450000</v>
      </c>
    </row>
    <row r="12" spans="2:13" x14ac:dyDescent="0.3">
      <c r="B12" s="60" t="s">
        <v>301</v>
      </c>
      <c r="C12" s="63">
        <f>+C10-C11</f>
        <v>14550000</v>
      </c>
      <c r="D12" s="63">
        <f>+D10-D11</f>
        <v>-3450000</v>
      </c>
      <c r="E12" s="63">
        <f>+E10-E11</f>
        <v>-3450000</v>
      </c>
      <c r="F12" s="63">
        <f>+F10-F11</f>
        <v>-3450000</v>
      </c>
      <c r="G12" s="63">
        <f>+G10-G11</f>
        <v>-3450000</v>
      </c>
    </row>
    <row r="13" spans="2:13" x14ac:dyDescent="0.3">
      <c r="B13" s="62"/>
      <c r="C13" s="59"/>
      <c r="D13" s="59"/>
      <c r="E13" s="59"/>
      <c r="F13" s="59"/>
      <c r="G13" s="59"/>
    </row>
    <row r="14" spans="2:13" ht="15" thickBot="1" x14ac:dyDescent="0.35">
      <c r="B14" s="64" t="s">
        <v>302</v>
      </c>
      <c r="C14" s="65">
        <f>C8+C12</f>
        <v>-4829377.5</v>
      </c>
      <c r="D14" s="65">
        <f>D8+D12</f>
        <v>-234855.57299999893</v>
      </c>
      <c r="E14" s="65">
        <f>E8+E12</f>
        <v>14313859.574533273</v>
      </c>
      <c r="F14" s="65">
        <f>F8+F12</f>
        <v>352411.74593048962</v>
      </c>
      <c r="G14" s="65">
        <f>G8+G12</f>
        <v>-3816248.2235295102</v>
      </c>
    </row>
    <row r="15" spans="2:13" x14ac:dyDescent="0.3">
      <c r="B15" s="62"/>
      <c r="C15" s="59"/>
      <c r="D15" s="59"/>
      <c r="E15" s="59"/>
      <c r="F15" s="59"/>
      <c r="G15" s="59"/>
    </row>
    <row r="16" spans="2:13" x14ac:dyDescent="0.3">
      <c r="B16" s="57" t="s">
        <v>303</v>
      </c>
      <c r="C16" s="58">
        <f>'Charges variables'!N23*'Charges variables'!$B$26</f>
        <v>2833500</v>
      </c>
      <c r="D16" s="58">
        <f>'Charges variables'!AA23*'Charges variables'!$B$26</f>
        <v>6036187.5</v>
      </c>
      <c r="E16" s="58">
        <f>'Charges variables'!AN23*'Charges variables'!$B$26</f>
        <v>10438977.585002782</v>
      </c>
      <c r="F16" s="58">
        <f>'Charges variables'!BA23*'Charges variables'!$B$26</f>
        <v>0</v>
      </c>
      <c r="G16" s="58">
        <f>'Charges variables'!BN23*'Charges variables'!$B$26</f>
        <v>0</v>
      </c>
    </row>
    <row r="17" spans="2:7" x14ac:dyDescent="0.3">
      <c r="B17" s="57" t="s">
        <v>304</v>
      </c>
      <c r="C17" s="58">
        <f>'Compte d''exploitation prév'!C10*0.2</f>
        <v>524596.25</v>
      </c>
      <c r="D17" s="58">
        <f>'Compte d''exploitation prév'!D10*0.2</f>
        <v>522971.97050000005</v>
      </c>
      <c r="E17" s="58">
        <f>'Compte d''exploitation prév'!E10*0.2</f>
        <v>528166.59500000009</v>
      </c>
      <c r="F17" s="58">
        <f>'Compte d''exploitation prév'!F10*0.2</f>
        <v>96550.608100000012</v>
      </c>
      <c r="G17" s="58">
        <f>'Compte d''exploitation prév'!G10*0.2</f>
        <v>276184.89356</v>
      </c>
    </row>
    <row r="18" spans="2:7" x14ac:dyDescent="0.3">
      <c r="B18" s="57" t="s">
        <v>305</v>
      </c>
      <c r="C18" s="58">
        <f>'Calculs financiers'!C16+'Calculs financiers'!C34+'Calculs financiers'!C60</f>
        <v>0</v>
      </c>
      <c r="D18" s="58">
        <f>'Calculs financiers'!C17+'Calculs financiers'!C35+'Calculs financiers'!C61</f>
        <v>0</v>
      </c>
      <c r="E18" s="58">
        <f>'Calculs financiers'!C62+'Calculs financiers'!C36+'Calculs financiers'!C18</f>
        <v>0</v>
      </c>
      <c r="F18" s="58">
        <f>'Calculs financiers'!C19+'Calculs financiers'!C37+'Calculs financiers'!C63</f>
        <v>0</v>
      </c>
      <c r="G18" s="58">
        <f>'Calculs financiers'!C64+'Calculs financiers'!C38+'Calculs financiers'!C20</f>
        <v>0</v>
      </c>
    </row>
    <row r="19" spans="2:7" x14ac:dyDescent="0.3">
      <c r="B19" s="62"/>
      <c r="C19" s="59"/>
      <c r="D19" s="59"/>
      <c r="E19" s="59"/>
      <c r="F19" s="59"/>
      <c r="G19" s="59"/>
    </row>
    <row r="20" spans="2:7" ht="15" thickBot="1" x14ac:dyDescent="0.35">
      <c r="B20" s="66" t="s">
        <v>306</v>
      </c>
      <c r="C20" s="61">
        <f>+C16+C17+C18</f>
        <v>3358096.25</v>
      </c>
      <c r="D20" s="61">
        <f>+D16+D17+D18</f>
        <v>6559159.4704999998</v>
      </c>
      <c r="E20" s="61">
        <f>+E16+E17+E18</f>
        <v>10967144.180002782</v>
      </c>
      <c r="F20" s="61">
        <f>+F16+F17+F18</f>
        <v>96550.608100000012</v>
      </c>
      <c r="G20" s="61">
        <f>+G16+G17+G18</f>
        <v>276184.89356</v>
      </c>
    </row>
    <row r="21" spans="2:7" x14ac:dyDescent="0.3">
      <c r="B21" s="57" t="s">
        <v>307</v>
      </c>
      <c r="C21" s="58">
        <v>1000000</v>
      </c>
      <c r="D21" s="58">
        <v>1000000</v>
      </c>
      <c r="E21" s="58">
        <v>1000000</v>
      </c>
      <c r="F21" s="58">
        <v>1000000</v>
      </c>
      <c r="G21" s="58">
        <v>1000000</v>
      </c>
    </row>
    <row r="22" spans="2:7" x14ac:dyDescent="0.3">
      <c r="B22" s="57" t="s">
        <v>308</v>
      </c>
      <c r="C22" s="58"/>
      <c r="D22" s="58">
        <f>C23</f>
        <v>-9187473.75</v>
      </c>
      <c r="E22" s="58">
        <f>D23+D22</f>
        <v>-7794015.0434999987</v>
      </c>
      <c r="F22" s="58">
        <f>E23+E22</f>
        <v>2346715.39453049</v>
      </c>
      <c r="G22" s="58">
        <f>F23+F22</f>
        <v>-744138.86216951022</v>
      </c>
    </row>
    <row r="23" spans="2:7" x14ac:dyDescent="0.3">
      <c r="B23" s="57" t="s">
        <v>309</v>
      </c>
      <c r="C23" s="58">
        <f>'Compte d''exploitation prév'!C19</f>
        <v>-9187473.75</v>
      </c>
      <c r="D23" s="58">
        <f>'Compte d''exploitation prév'!D19</f>
        <v>1393458.7065000008</v>
      </c>
      <c r="E23" s="58">
        <f>'Compte d''exploitation prév'!E19</f>
        <v>10140730.438030489</v>
      </c>
      <c r="F23" s="58">
        <f>'Compte d''exploitation prév'!F19</f>
        <v>-3090854.2567000003</v>
      </c>
      <c r="G23" s="58">
        <f>'Compte d''exploitation prév'!G19</f>
        <v>-4348294.2549200002</v>
      </c>
    </row>
    <row r="24" spans="2:7" ht="20.399999999999999" x14ac:dyDescent="0.3">
      <c r="B24" s="109" t="s">
        <v>310</v>
      </c>
      <c r="C24" s="58">
        <f>'Calculs financiers'!C16</f>
        <v>0</v>
      </c>
      <c r="D24" s="58">
        <f>'Calculs financiers'!C17</f>
        <v>0</v>
      </c>
      <c r="E24" s="58">
        <f>'Calculs financiers'!C18</f>
        <v>0</v>
      </c>
      <c r="F24" s="58"/>
      <c r="G24" s="58"/>
    </row>
    <row r="25" spans="2:7" ht="15" thickBot="1" x14ac:dyDescent="0.35">
      <c r="B25" s="66" t="s">
        <v>311</v>
      </c>
      <c r="C25" s="61">
        <f>+C21+C22+C23+C24</f>
        <v>-8187473.75</v>
      </c>
      <c r="D25" s="61">
        <f t="shared" ref="D25:G25" si="2">+D21+D22+D23+D24</f>
        <v>-6794015.0434999987</v>
      </c>
      <c r="E25" s="61">
        <f t="shared" si="2"/>
        <v>3346715.39453049</v>
      </c>
      <c r="F25" s="61">
        <f t="shared" si="2"/>
        <v>255861.13783048978</v>
      </c>
      <c r="G25" s="61">
        <f t="shared" si="2"/>
        <v>-4092433.1170895104</v>
      </c>
    </row>
    <row r="26" spans="2:7" x14ac:dyDescent="0.3">
      <c r="B26" s="62"/>
      <c r="C26" s="62"/>
      <c r="D26" s="62"/>
      <c r="E26" s="62"/>
      <c r="F26" s="62"/>
      <c r="G26" s="62"/>
    </row>
    <row r="27" spans="2:7" ht="15" thickBot="1" x14ac:dyDescent="0.35">
      <c r="B27" s="64" t="s">
        <v>312</v>
      </c>
      <c r="C27" s="67">
        <f>+C20+C25</f>
        <v>-4829377.5</v>
      </c>
      <c r="D27" s="67">
        <f>+D20+D25</f>
        <v>-234855.57299999893</v>
      </c>
      <c r="E27" s="67">
        <f>+E20+E25</f>
        <v>14313859.574533273</v>
      </c>
      <c r="F27" s="67">
        <f>+F20+F25</f>
        <v>352411.74593048979</v>
      </c>
      <c r="G27" s="67">
        <f>+G20+G25</f>
        <v>-3816248.2235295102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0000"/>
  </sheetPr>
  <dimension ref="B2:I7"/>
  <sheetViews>
    <sheetView workbookViewId="0">
      <selection activeCell="H1" sqref="H1:I1048576"/>
    </sheetView>
  </sheetViews>
  <sheetFormatPr baseColWidth="10" defaultRowHeight="14.4" x14ac:dyDescent="0.3"/>
  <cols>
    <col min="2" max="2" width="13.44140625" customWidth="1"/>
    <col min="3" max="3" width="15.21875" customWidth="1"/>
    <col min="4" max="4" width="13.6640625" customWidth="1"/>
    <col min="5" max="5" width="13.21875" customWidth="1"/>
  </cols>
  <sheetData>
    <row r="2" spans="2:9" ht="15" thickBot="1" x14ac:dyDescent="0.35"/>
    <row r="3" spans="2:9" ht="15" thickBot="1" x14ac:dyDescent="0.35">
      <c r="B3" s="68" t="s">
        <v>271</v>
      </c>
      <c r="C3" s="69" t="s">
        <v>290</v>
      </c>
      <c r="D3" s="69" t="s">
        <v>291</v>
      </c>
      <c r="E3" s="69" t="s">
        <v>292</v>
      </c>
      <c r="F3" s="69" t="s">
        <v>293</v>
      </c>
      <c r="G3" s="69" t="s">
        <v>294</v>
      </c>
      <c r="H3" s="69" t="s">
        <v>313</v>
      </c>
      <c r="I3" s="69" t="s">
        <v>314</v>
      </c>
    </row>
    <row r="4" spans="2:9" ht="27" thickBot="1" x14ac:dyDescent="0.35">
      <c r="B4" s="110" t="s">
        <v>316</v>
      </c>
      <c r="C4" s="70">
        <f>('Compte d''exploitation prév'!C7+'Compte d''exploitation prév'!C9+'Compte d''exploitation prév'!C10+'Compte d''exploitation prév'!C12+'Compte d''exploitation prév'!C15+'Compte d''exploitation prév'!C18)/'Compte d''exploitation prév'!C6</f>
        <v>46895159.789586306</v>
      </c>
      <c r="D4" s="70">
        <f>('Compte d''exploitation prév'!D7+'Compte d''exploitation prév'!D9+'Compte d''exploitation prév'!D10+'Compte d''exploitation prév'!D12+'Compte d''exploitation prév'!D15+'Compte d''exploitation prév'!D18)/'Compte d''exploitation prév'!D6</f>
        <v>29107134.285102393</v>
      </c>
      <c r="E4" s="70">
        <f>('Compte d''exploitation prév'!E7+'Compte d''exploitation prév'!E9+'Compte d''exploitation prév'!E10+'Compte d''exploitation prév'!E12+'Compte d''exploitation prév'!E15+'Compte d''exploitation prév'!E18)/'Compte d''exploitation prév'!E6</f>
        <v>44481305.913850129</v>
      </c>
      <c r="F4" s="70" t="e">
        <f>('Compte d''exploitation prév'!F7+'Compte d''exploitation prév'!F9+'Compte d''exploitation prév'!F10+'Compte d''exploitation prév'!F12+'Compte d''exploitation prév'!F15+'Compte d''exploitation prév'!F18)/'Compte d''exploitation prév'!F6</f>
        <v>#DIV/0!</v>
      </c>
      <c r="G4" s="70" t="e">
        <f>('Compte d''exploitation prév'!G7+'Compte d''exploitation prév'!G9+'Compte d''exploitation prév'!G10+'Compte d''exploitation prév'!G12+'Compte d''exploitation prév'!G15+'Compte d''exploitation prév'!G18)/'Compte d''exploitation prév'!G6</f>
        <v>#DIV/0!</v>
      </c>
      <c r="H4" s="70" t="e">
        <f>('Compte d''exploitation prév'!#REF!+'Compte d''exploitation prév'!#REF!+'Compte d''exploitation prév'!#REF!+'Compte d''exploitation prév'!#REF!+'Compte d''exploitation prév'!#REF!+'Compte d''exploitation prév'!#REF!)/'Compte d''exploitation prév'!#REF!</f>
        <v>#REF!</v>
      </c>
      <c r="I4" s="70" t="e">
        <f>('Compte d''exploitation prév'!#REF!+'Compte d''exploitation prév'!#REF!+'Compte d''exploitation prév'!#REF!+'Compte d''exploitation prév'!#REF!+'Compte d''exploitation prév'!#REF!+'Compte d''exploitation prév'!#REF!)/'Compte d''exploitation prév'!#REF!</f>
        <v>#REF!</v>
      </c>
    </row>
    <row r="5" spans="2:9" ht="15" thickBot="1" x14ac:dyDescent="0.35">
      <c r="B5" s="110" t="s">
        <v>401</v>
      </c>
      <c r="C5" s="70">
        <f>'Compte d''exploitation prév'!C3/360</f>
        <v>35972.222222222219</v>
      </c>
      <c r="D5" s="70">
        <f>'Compte d''exploitation prév'!D3/360</f>
        <v>90902.777777777781</v>
      </c>
      <c r="E5" s="70">
        <f>'Compte d''exploitation prév'!E3/360</f>
        <v>183191.71019062295</v>
      </c>
      <c r="F5" s="70">
        <f>'Compte d''exploitation prév'!F3/360</f>
        <v>0</v>
      </c>
      <c r="G5" s="70">
        <f>'Compte d''exploitation prév'!G3/360</f>
        <v>0</v>
      </c>
      <c r="H5" s="70" t="e">
        <f>'Compte d''exploitation prév'!#REF!/360</f>
        <v>#REF!</v>
      </c>
      <c r="I5" s="70" t="e">
        <f>'Compte d''exploitation prév'!#REF!/360</f>
        <v>#REF!</v>
      </c>
    </row>
    <row r="6" spans="2:9" ht="27" thickBot="1" x14ac:dyDescent="0.35">
      <c r="B6" s="110" t="s">
        <v>402</v>
      </c>
      <c r="C6" s="70">
        <f>C4/C5</f>
        <v>1303.6492296718975</v>
      </c>
      <c r="D6" s="70">
        <f t="shared" ref="D6:I6" si="0">D4/D5</f>
        <v>320.20071329677194</v>
      </c>
      <c r="E6" s="70">
        <f t="shared" si="0"/>
        <v>242.81287547108121</v>
      </c>
      <c r="F6" s="70" t="e">
        <f t="shared" si="0"/>
        <v>#DIV/0!</v>
      </c>
      <c r="G6" s="70" t="e">
        <f t="shared" si="0"/>
        <v>#DIV/0!</v>
      </c>
      <c r="H6" s="70" t="e">
        <f t="shared" si="0"/>
        <v>#REF!</v>
      </c>
      <c r="I6" s="70" t="e">
        <f t="shared" si="0"/>
        <v>#REF!</v>
      </c>
    </row>
    <row r="7" spans="2:9" ht="40.200000000000003" thickBot="1" x14ac:dyDescent="0.35">
      <c r="B7" s="110" t="s">
        <v>403</v>
      </c>
      <c r="C7" s="71">
        <f>C4/'Compte d''exploitation prév'!C3</f>
        <v>3.6212478601997149</v>
      </c>
      <c r="D7" s="71">
        <f>D4/'Compte d''exploitation prév'!D3</f>
        <v>0.8894464258243665</v>
      </c>
      <c r="E7" s="71">
        <f>E4/'Compte d''exploitation prév'!E3</f>
        <v>0.67448020964189226</v>
      </c>
      <c r="F7" s="71" t="e">
        <f>F4/'Compte d''exploitation prév'!F3</f>
        <v>#DIV/0!</v>
      </c>
      <c r="G7" s="71" t="e">
        <f>G4/'Compte d''exploitation prév'!G3</f>
        <v>#DIV/0!</v>
      </c>
      <c r="H7" s="71" t="e">
        <f>H4/'Compte d''exploitation prév'!#REF!</f>
        <v>#REF!</v>
      </c>
      <c r="I7" s="71" t="e">
        <f>I4/'Compte d''exploitation prév'!#REF!</f>
        <v>#REF!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0000"/>
  </sheetPr>
  <dimension ref="A1:I39"/>
  <sheetViews>
    <sheetView workbookViewId="0">
      <selection activeCell="K9" sqref="K9"/>
    </sheetView>
  </sheetViews>
  <sheetFormatPr baseColWidth="10" defaultRowHeight="14.4" x14ac:dyDescent="0.3"/>
  <cols>
    <col min="2" max="2" width="37.33203125" customWidth="1"/>
    <col min="3" max="3" width="14.109375" customWidth="1"/>
    <col min="4" max="4" width="13.88671875" customWidth="1"/>
    <col min="5" max="5" width="14.44140625" customWidth="1"/>
    <col min="6" max="6" width="15.6640625" customWidth="1"/>
    <col min="7" max="7" width="13" customWidth="1"/>
    <col min="8" max="8" width="14.44140625" customWidth="1"/>
    <col min="9" max="9" width="12.5546875" customWidth="1"/>
  </cols>
  <sheetData>
    <row r="1" spans="1:9" ht="33" customHeight="1" x14ac:dyDescent="0.3">
      <c r="A1" s="186" t="s">
        <v>317</v>
      </c>
      <c r="B1" s="186"/>
      <c r="C1" s="113"/>
    </row>
    <row r="2" spans="1:9" ht="15.6" x14ac:dyDescent="0.3">
      <c r="A2" s="185" t="s">
        <v>318</v>
      </c>
      <c r="B2" s="185"/>
      <c r="C2" s="112" t="s">
        <v>12</v>
      </c>
      <c r="D2" s="112" t="s">
        <v>25</v>
      </c>
      <c r="E2" s="112" t="s">
        <v>38</v>
      </c>
      <c r="F2" s="112" t="s">
        <v>51</v>
      </c>
      <c r="G2" s="112" t="s">
        <v>64</v>
      </c>
      <c r="H2" s="112" t="s">
        <v>106</v>
      </c>
      <c r="I2" s="112" t="s">
        <v>119</v>
      </c>
    </row>
    <row r="3" spans="1:9" ht="15.6" x14ac:dyDescent="0.3">
      <c r="A3" s="183" t="s">
        <v>319</v>
      </c>
      <c r="B3" s="184"/>
      <c r="C3" s="72"/>
      <c r="D3" s="72"/>
      <c r="E3" s="72"/>
      <c r="F3" s="72"/>
      <c r="G3" s="72"/>
      <c r="H3" s="72"/>
      <c r="I3" s="72"/>
    </row>
    <row r="4" spans="1:9" ht="15.6" x14ac:dyDescent="0.3">
      <c r="A4" s="73"/>
      <c r="B4" s="74" t="s">
        <v>282</v>
      </c>
      <c r="C4" s="87">
        <f>'Compte d''exploitation prév'!C13</f>
        <v>-13124962.5</v>
      </c>
      <c r="D4" s="87">
        <f>'Compte d''exploitation prév'!D13</f>
        <v>1990655.2950000009</v>
      </c>
      <c r="E4" s="87">
        <f>'Compte d''exploitation prév'!E13</f>
        <v>14486757.768614985</v>
      </c>
      <c r="F4" s="87">
        <f>'Compte d''exploitation prév'!F13</f>
        <v>-4415506.0810000002</v>
      </c>
      <c r="G4" s="87">
        <f>'Compte d''exploitation prév'!G13</f>
        <v>-6211848.9355999995</v>
      </c>
      <c r="H4" s="87" t="e">
        <f>'Compte d''exploitation prév'!#REF!</f>
        <v>#REF!</v>
      </c>
      <c r="I4" s="87" t="e">
        <f>'Compte d''exploitation prév'!#REF!</f>
        <v>#REF!</v>
      </c>
    </row>
    <row r="5" spans="1:9" ht="36.75" customHeight="1" x14ac:dyDescent="0.3">
      <c r="A5" s="187" t="s">
        <v>320</v>
      </c>
      <c r="B5" s="188"/>
      <c r="C5" s="75"/>
      <c r="D5" s="75"/>
      <c r="E5" s="75"/>
      <c r="F5" s="75"/>
      <c r="G5" s="75"/>
      <c r="H5" s="75"/>
      <c r="I5" s="75"/>
    </row>
    <row r="6" spans="1:9" ht="46.8" x14ac:dyDescent="0.3">
      <c r="A6" s="73" t="s">
        <v>321</v>
      </c>
      <c r="B6" s="76" t="s">
        <v>322</v>
      </c>
      <c r="C6" s="88">
        <f>'Compte d''exploitation prév'!C12</f>
        <v>3450000</v>
      </c>
      <c r="D6" s="88">
        <f>'Compte d''exploitation prév'!D12</f>
        <v>3450000</v>
      </c>
      <c r="E6" s="88">
        <f>'Compte d''exploitation prév'!E12</f>
        <v>3450000</v>
      </c>
      <c r="F6" s="88">
        <f>'Compte d''exploitation prév'!F12</f>
        <v>3450000</v>
      </c>
      <c r="G6" s="88">
        <f>'Compte d''exploitation prév'!G12</f>
        <v>3450000</v>
      </c>
      <c r="H6" s="88" t="e">
        <f>'Compte d''exploitation prév'!#REF!</f>
        <v>#REF!</v>
      </c>
      <c r="I6" s="88" t="e">
        <f>'Compte d''exploitation prév'!#REF!</f>
        <v>#REF!</v>
      </c>
    </row>
    <row r="7" spans="1:9" ht="31.2" x14ac:dyDescent="0.3">
      <c r="A7" s="73" t="s">
        <v>315</v>
      </c>
      <c r="B7" s="76" t="s">
        <v>323</v>
      </c>
      <c r="C7" s="89"/>
      <c r="D7" s="89"/>
      <c r="E7" s="89"/>
      <c r="F7" s="89"/>
      <c r="G7" s="89"/>
      <c r="H7" s="89"/>
      <c r="I7" s="89"/>
    </row>
    <row r="8" spans="1:9" ht="15.6" x14ac:dyDescent="0.3">
      <c r="A8" s="73" t="s">
        <v>324</v>
      </c>
      <c r="B8" s="74" t="s">
        <v>325</v>
      </c>
      <c r="C8" s="75">
        <f>C4+C6-C7</f>
        <v>-9674962.5</v>
      </c>
      <c r="D8" s="75">
        <f>D4+D6-D7</f>
        <v>5440655.2950000009</v>
      </c>
      <c r="E8" s="75">
        <f>E4+E6-E7</f>
        <v>17936757.768614985</v>
      </c>
      <c r="F8" s="75">
        <f>F4+F6-F7</f>
        <v>-965506.08100000024</v>
      </c>
      <c r="G8" s="75">
        <f>G4+G6-G7</f>
        <v>-2761848.9355999995</v>
      </c>
      <c r="H8" s="75" t="e">
        <f t="shared" ref="H8:I8" si="0">H4+H6-H7</f>
        <v>#REF!</v>
      </c>
      <c r="I8" s="75" t="e">
        <f t="shared" si="0"/>
        <v>#REF!</v>
      </c>
    </row>
    <row r="9" spans="1:9" ht="46.8" x14ac:dyDescent="0.3">
      <c r="A9" s="73"/>
      <c r="B9" s="76" t="s">
        <v>326</v>
      </c>
      <c r="C9" s="77"/>
      <c r="D9" s="77"/>
      <c r="E9" s="77"/>
      <c r="F9" s="77"/>
      <c r="G9" s="77"/>
      <c r="H9" s="77"/>
      <c r="I9" s="77"/>
    </row>
    <row r="10" spans="1:9" ht="15.6" x14ac:dyDescent="0.3">
      <c r="A10" s="73" t="s">
        <v>315</v>
      </c>
      <c r="B10" s="76" t="s">
        <v>327</v>
      </c>
      <c r="C10" s="88">
        <f>'Bilan prévisionnel'!C7</f>
        <v>0</v>
      </c>
      <c r="D10" s="88">
        <f>'Bilan prévisionnel'!D7</f>
        <v>90000</v>
      </c>
      <c r="E10" s="88">
        <f>'Bilan prévisionnel'!E7</f>
        <v>30073.770132982347</v>
      </c>
      <c r="F10" s="88">
        <f>'Bilan prévisionnel'!F7</f>
        <v>0</v>
      </c>
      <c r="G10" s="88">
        <f>'Bilan prévisionnel'!G7</f>
        <v>0</v>
      </c>
      <c r="H10" s="88" t="e">
        <f>'Bilan prévisionnel'!#REF!</f>
        <v>#REF!</v>
      </c>
      <c r="I10" s="88" t="e">
        <f>'Bilan prévisionnel'!#REF!</f>
        <v>#REF!</v>
      </c>
    </row>
    <row r="11" spans="1:9" ht="15.6" x14ac:dyDescent="0.3">
      <c r="A11" s="73" t="s">
        <v>315</v>
      </c>
      <c r="B11" s="76" t="s">
        <v>328</v>
      </c>
      <c r="C11" s="88">
        <f>'Bilan prévisionnel'!C6</f>
        <v>2590000</v>
      </c>
      <c r="D11" s="88">
        <f>'Bilan prévisionnel'!D6-'Bilan prévisionnel'!C6</f>
        <v>3955000</v>
      </c>
      <c r="E11" s="88">
        <f>'Bilan prévisionnel'!E6-'Bilan prévisionnel'!D6</f>
        <v>6644803.1337248534</v>
      </c>
      <c r="F11" s="88">
        <f>'Bilan prévisionnel'!F6-'Bilan prévisionnel'!E6</f>
        <v>-13189803.133724853</v>
      </c>
      <c r="G11" s="88">
        <f>'Bilan prévisionnel'!G6-'Bilan prévisionnel'!F6</f>
        <v>0</v>
      </c>
      <c r="H11" s="88" t="e">
        <f>'Bilan prévisionnel'!#REF!-'Bilan prévisionnel'!G6</f>
        <v>#REF!</v>
      </c>
      <c r="I11" s="88" t="e">
        <f>'Bilan prévisionnel'!#REF!-'Bilan prévisionnel'!#REF!</f>
        <v>#REF!</v>
      </c>
    </row>
    <row r="12" spans="1:9" ht="15.6" x14ac:dyDescent="0.3">
      <c r="A12" s="73" t="s">
        <v>321</v>
      </c>
      <c r="B12" s="76" t="s">
        <v>329</v>
      </c>
      <c r="C12" s="88">
        <f>'Bilan prévisionnel'!C16</f>
        <v>2833500</v>
      </c>
      <c r="D12" s="88">
        <f>'Bilan prévisionnel'!D16-'Bilan prévisionnel'!C16</f>
        <v>3202687.5</v>
      </c>
      <c r="E12" s="88">
        <f>'Bilan prévisionnel'!E16-'Bilan prévisionnel'!D16</f>
        <v>4402790.0850027818</v>
      </c>
      <c r="F12" s="88">
        <f>'Bilan prévisionnel'!F16-'Bilan prévisionnel'!E16</f>
        <v>-10438977.585002782</v>
      </c>
      <c r="G12" s="88">
        <f>'Bilan prévisionnel'!G16-'Bilan prévisionnel'!F16</f>
        <v>0</v>
      </c>
      <c r="H12" s="88" t="e">
        <f>'Bilan prévisionnel'!#REF!-'Bilan prévisionnel'!G16</f>
        <v>#REF!</v>
      </c>
      <c r="I12" s="88" t="e">
        <f>'Bilan prévisionnel'!#REF!-'Bilan prévisionnel'!#REF!</f>
        <v>#REF!</v>
      </c>
    </row>
    <row r="13" spans="1:9" ht="16.2" x14ac:dyDescent="0.35">
      <c r="A13" s="73" t="s">
        <v>324</v>
      </c>
      <c r="B13" s="78" t="s">
        <v>330</v>
      </c>
      <c r="C13" s="79">
        <f>C8-C10-C11+C12</f>
        <v>-9431462.5</v>
      </c>
      <c r="D13" s="79">
        <f t="shared" ref="D13:I13" si="1">D8-D10-D11+D12</f>
        <v>4598342.7950000009</v>
      </c>
      <c r="E13" s="79">
        <f t="shared" si="1"/>
        <v>15664670.949759932</v>
      </c>
      <c r="F13" s="79">
        <f t="shared" si="1"/>
        <v>1785319.4677220713</v>
      </c>
      <c r="G13" s="79">
        <f t="shared" si="1"/>
        <v>-2761848.9355999995</v>
      </c>
      <c r="H13" s="79" t="e">
        <f t="shared" si="1"/>
        <v>#REF!</v>
      </c>
      <c r="I13" s="79" t="e">
        <f t="shared" si="1"/>
        <v>#REF!</v>
      </c>
    </row>
    <row r="14" spans="1:9" ht="15.6" x14ac:dyDescent="0.3">
      <c r="A14" s="189" t="s">
        <v>331</v>
      </c>
      <c r="B14" s="190"/>
      <c r="C14" s="77"/>
      <c r="D14" s="77"/>
      <c r="E14" s="77"/>
      <c r="F14" s="77"/>
      <c r="G14" s="77"/>
      <c r="H14" s="77"/>
      <c r="I14" s="77"/>
    </row>
    <row r="15" spans="1:9" ht="15.6" x14ac:dyDescent="0.3">
      <c r="A15" s="73" t="s">
        <v>315</v>
      </c>
      <c r="B15" s="76" t="s">
        <v>332</v>
      </c>
      <c r="C15" s="88">
        <f>'Compte d''exploitation prév'!C15</f>
        <v>0</v>
      </c>
      <c r="D15" s="88">
        <f>'Compte d''exploitation prév'!D15</f>
        <v>0</v>
      </c>
      <c r="E15" s="88">
        <f>'Compte d''exploitation prév'!E15</f>
        <v>0</v>
      </c>
      <c r="F15" s="88">
        <f>'Compte d''exploitation prév'!F15</f>
        <v>0</v>
      </c>
      <c r="G15" s="88">
        <f>'Compte d''exploitation prév'!G15</f>
        <v>0</v>
      </c>
      <c r="H15" s="88" t="e">
        <f>'Compte d''exploitation prév'!#REF!</f>
        <v>#REF!</v>
      </c>
      <c r="I15" s="88" t="e">
        <f>'Compte d''exploitation prév'!#REF!</f>
        <v>#REF!</v>
      </c>
    </row>
    <row r="16" spans="1:9" ht="15.6" x14ac:dyDescent="0.3">
      <c r="A16" s="73" t="s">
        <v>321</v>
      </c>
      <c r="B16" s="76" t="s">
        <v>283</v>
      </c>
      <c r="C16" s="88">
        <f>'Compte d''exploitation prév'!C14</f>
        <v>0</v>
      </c>
      <c r="D16" s="88"/>
      <c r="E16" s="88"/>
      <c r="F16" s="88"/>
      <c r="G16" s="88"/>
      <c r="H16" s="88"/>
      <c r="I16" s="88"/>
    </row>
    <row r="17" spans="1:9" ht="31.2" x14ac:dyDescent="0.3">
      <c r="A17" s="73" t="s">
        <v>315</v>
      </c>
      <c r="B17" s="76" t="s">
        <v>333</v>
      </c>
      <c r="C17" s="88">
        <f>'Compte d''exploitation prév'!C18</f>
        <v>-3937488.75</v>
      </c>
      <c r="D17" s="88">
        <f>'Compte d''exploitation prév'!D18</f>
        <v>597196.58850000019</v>
      </c>
      <c r="E17" s="88">
        <f>'Compte d''exploitation prév'!E18</f>
        <v>4346027.3305844953</v>
      </c>
      <c r="F17" s="88">
        <f>'Compte d''exploitation prév'!F18</f>
        <v>-1324651.8243</v>
      </c>
      <c r="G17" s="88">
        <f>'Compte d''exploitation prév'!G18</f>
        <v>-1863554.6806799998</v>
      </c>
      <c r="H17" s="88" t="e">
        <f>'Compte d''exploitation prév'!#REF!</f>
        <v>#REF!</v>
      </c>
      <c r="I17" s="88" t="e">
        <f>'Compte d''exploitation prév'!#REF!</f>
        <v>#REF!</v>
      </c>
    </row>
    <row r="18" spans="1:9" ht="31.2" x14ac:dyDescent="0.3">
      <c r="A18" s="73" t="s">
        <v>315</v>
      </c>
      <c r="B18" s="76" t="s">
        <v>334</v>
      </c>
      <c r="C18" s="88"/>
      <c r="D18" s="88"/>
      <c r="E18" s="88"/>
      <c r="F18" s="88"/>
      <c r="G18" s="88"/>
      <c r="H18" s="88"/>
      <c r="I18" s="88"/>
    </row>
    <row r="19" spans="1:9" ht="15.6" x14ac:dyDescent="0.3">
      <c r="A19" s="73" t="s">
        <v>321</v>
      </c>
      <c r="B19" s="76" t="s">
        <v>335</v>
      </c>
      <c r="C19" s="88"/>
      <c r="D19" s="88"/>
      <c r="E19" s="88"/>
      <c r="F19" s="88"/>
      <c r="G19" s="88"/>
      <c r="H19" s="88"/>
      <c r="I19" s="88"/>
    </row>
    <row r="20" spans="1:9" ht="15.6" x14ac:dyDescent="0.3">
      <c r="A20" s="73" t="s">
        <v>315</v>
      </c>
      <c r="B20" s="76" t="s">
        <v>336</v>
      </c>
      <c r="C20" s="88"/>
      <c r="D20" s="88"/>
      <c r="E20" s="88"/>
      <c r="F20" s="88"/>
      <c r="G20" s="88"/>
      <c r="H20" s="88"/>
      <c r="I20" s="88"/>
    </row>
    <row r="21" spans="1:9" ht="31.2" x14ac:dyDescent="0.3">
      <c r="A21" s="73" t="s">
        <v>321</v>
      </c>
      <c r="B21" s="76" t="s">
        <v>337</v>
      </c>
      <c r="C21" s="89"/>
      <c r="D21" s="89"/>
      <c r="E21" s="89"/>
      <c r="F21" s="89"/>
      <c r="G21" s="89"/>
      <c r="H21" s="89"/>
      <c r="I21" s="89"/>
    </row>
    <row r="22" spans="1:9" ht="32.4" x14ac:dyDescent="0.35">
      <c r="A22" s="80" t="s">
        <v>324</v>
      </c>
      <c r="B22" s="81" t="s">
        <v>338</v>
      </c>
      <c r="C22" s="82">
        <f>C13-C15+C16-C17-C18+C19-C20+C21</f>
        <v>-5493973.75</v>
      </c>
      <c r="D22" s="82">
        <f t="shared" ref="D22:I22" si="2">D13-D15+D16-D17-D18+D19-D20+D21</f>
        <v>4001146.2065000008</v>
      </c>
      <c r="E22" s="82">
        <f t="shared" si="2"/>
        <v>11318643.619175438</v>
      </c>
      <c r="F22" s="82">
        <f t="shared" si="2"/>
        <v>3109971.2920220713</v>
      </c>
      <c r="G22" s="82">
        <f t="shared" si="2"/>
        <v>-898294.25491999974</v>
      </c>
      <c r="H22" s="82" t="e">
        <f t="shared" si="2"/>
        <v>#REF!</v>
      </c>
      <c r="I22" s="82" t="e">
        <f t="shared" si="2"/>
        <v>#REF!</v>
      </c>
    </row>
    <row r="23" spans="1:9" ht="33.75" customHeight="1" x14ac:dyDescent="0.3">
      <c r="A23" s="183" t="s">
        <v>339</v>
      </c>
      <c r="B23" s="184"/>
      <c r="C23" s="72"/>
      <c r="D23" s="72"/>
      <c r="E23" s="72"/>
      <c r="F23" s="72"/>
      <c r="G23" s="72"/>
      <c r="H23" s="72"/>
      <c r="I23" s="72"/>
    </row>
    <row r="24" spans="1:9" ht="15.6" x14ac:dyDescent="0.3">
      <c r="A24" s="73" t="s">
        <v>315</v>
      </c>
      <c r="B24" s="76" t="s">
        <v>340</v>
      </c>
      <c r="C24" s="88">
        <f>'Liste des investissements'!N61</f>
        <v>18000000</v>
      </c>
      <c r="D24" s="88">
        <f>'Liste des investissements'!AA61</f>
        <v>0</v>
      </c>
      <c r="E24" s="88">
        <f>'Liste des investissements'!AN61</f>
        <v>0</v>
      </c>
      <c r="F24" s="88">
        <f>'Liste des investissements'!BA61</f>
        <v>0</v>
      </c>
      <c r="G24" s="88">
        <f>'Liste des investissements'!BN61</f>
        <v>0</v>
      </c>
      <c r="H24" s="88" t="e">
        <f>'Liste des investissements'!#REF!</f>
        <v>#REF!</v>
      </c>
      <c r="I24" s="88" t="e">
        <f>'Liste des investissements'!#REF!</f>
        <v>#REF!</v>
      </c>
    </row>
    <row r="25" spans="1:9" ht="31.2" x14ac:dyDescent="0.3">
      <c r="A25" s="73" t="s">
        <v>321</v>
      </c>
      <c r="B25" s="76" t="s">
        <v>341</v>
      </c>
      <c r="C25" s="88"/>
      <c r="D25" s="88"/>
      <c r="E25" s="88"/>
      <c r="F25" s="88"/>
      <c r="G25" s="88"/>
      <c r="H25" s="88"/>
      <c r="I25" s="88"/>
    </row>
    <row r="26" spans="1:9" ht="31.2" x14ac:dyDescent="0.3">
      <c r="A26" s="73" t="s">
        <v>321</v>
      </c>
      <c r="B26" s="76" t="s">
        <v>342</v>
      </c>
      <c r="C26" s="88"/>
      <c r="D26" s="88"/>
      <c r="E26" s="88"/>
      <c r="F26" s="88"/>
      <c r="G26" s="88"/>
      <c r="H26" s="88"/>
      <c r="I26" s="88"/>
    </row>
    <row r="27" spans="1:9" ht="31.2" x14ac:dyDescent="0.3">
      <c r="A27" s="73" t="s">
        <v>343</v>
      </c>
      <c r="B27" s="76" t="s">
        <v>344</v>
      </c>
      <c r="C27" s="89"/>
      <c r="D27" s="89"/>
      <c r="E27" s="89"/>
      <c r="F27" s="89"/>
      <c r="G27" s="89"/>
      <c r="H27" s="89"/>
      <c r="I27" s="89"/>
    </row>
    <row r="28" spans="1:9" ht="32.4" x14ac:dyDescent="0.35">
      <c r="A28" s="73" t="s">
        <v>324</v>
      </c>
      <c r="B28" s="78" t="s">
        <v>345</v>
      </c>
      <c r="C28" s="79">
        <f>-C24+C25+C26-C27</f>
        <v>-18000000</v>
      </c>
      <c r="D28" s="79">
        <f t="shared" ref="D28:I28" si="3">-D24+D25+D26-D27</f>
        <v>0</v>
      </c>
      <c r="E28" s="79">
        <f t="shared" si="3"/>
        <v>0</v>
      </c>
      <c r="F28" s="79">
        <f t="shared" si="3"/>
        <v>0</v>
      </c>
      <c r="G28" s="79">
        <f t="shared" si="3"/>
        <v>0</v>
      </c>
      <c r="H28" s="79" t="e">
        <f t="shared" si="3"/>
        <v>#REF!</v>
      </c>
      <c r="I28" s="79" t="e">
        <f t="shared" si="3"/>
        <v>#REF!</v>
      </c>
    </row>
    <row r="29" spans="1:9" ht="32.25" customHeight="1" x14ac:dyDescent="0.3">
      <c r="A29" s="183" t="s">
        <v>346</v>
      </c>
      <c r="B29" s="184"/>
      <c r="C29" s="83"/>
      <c r="D29" s="83"/>
      <c r="E29" s="83"/>
      <c r="F29" s="83"/>
      <c r="G29" s="83"/>
      <c r="H29" s="83"/>
      <c r="I29" s="83"/>
    </row>
    <row r="30" spans="1:9" ht="15.6" x14ac:dyDescent="0.3">
      <c r="A30" s="73" t="s">
        <v>321</v>
      </c>
      <c r="B30" s="76" t="s">
        <v>347</v>
      </c>
      <c r="C30" s="90">
        <f>'Bilan prévisionnel'!C21</f>
        <v>1000000</v>
      </c>
      <c r="D30" s="90"/>
      <c r="E30" s="90"/>
      <c r="F30" s="90"/>
      <c r="G30" s="90"/>
      <c r="H30" s="90"/>
      <c r="I30" s="90"/>
    </row>
    <row r="31" spans="1:9" ht="15.6" x14ac:dyDescent="0.3">
      <c r="A31" s="73" t="s">
        <v>315</v>
      </c>
      <c r="B31" s="76" t="s">
        <v>348</v>
      </c>
      <c r="C31" s="90"/>
      <c r="D31" s="90"/>
      <c r="E31" s="90"/>
      <c r="F31" s="90"/>
      <c r="G31" s="90"/>
      <c r="H31" s="90"/>
      <c r="I31" s="90"/>
    </row>
    <row r="32" spans="1:9" ht="15.6" x14ac:dyDescent="0.3">
      <c r="A32" s="73" t="s">
        <v>315</v>
      </c>
      <c r="B32" s="76" t="s">
        <v>349</v>
      </c>
      <c r="C32" s="90"/>
      <c r="D32" s="90"/>
      <c r="E32" s="90"/>
      <c r="F32" s="90"/>
      <c r="G32" s="90"/>
      <c r="H32" s="90"/>
      <c r="I32" s="90"/>
    </row>
    <row r="33" spans="1:9" ht="15.6" x14ac:dyDescent="0.3">
      <c r="A33" s="73" t="s">
        <v>321</v>
      </c>
      <c r="B33" s="76" t="s">
        <v>350</v>
      </c>
      <c r="C33" s="90">
        <f>'Calculs financiers'!C12:F12+'Calculs financiers'!C30:F30+'Calculs financiers'!C53</f>
        <v>0</v>
      </c>
      <c r="D33" s="90"/>
      <c r="E33" s="90"/>
      <c r="F33" s="90"/>
      <c r="G33" s="90"/>
      <c r="H33" s="90"/>
      <c r="I33" s="90"/>
    </row>
    <row r="34" spans="1:9" ht="15.6" x14ac:dyDescent="0.3">
      <c r="A34" s="73" t="s">
        <v>315</v>
      </c>
      <c r="B34" s="76" t="s">
        <v>351</v>
      </c>
      <c r="C34" s="90">
        <f>'Calculs financiers'!F16+'Calculs financiers'!F34+'Calculs financiers'!F60</f>
        <v>0</v>
      </c>
      <c r="D34" s="90">
        <f>'Calculs financiers'!F17+'Calculs financiers'!F35+'Calculs financiers'!F61</f>
        <v>0</v>
      </c>
      <c r="E34" s="90">
        <f>'Calculs financiers'!F18+'Calculs financiers'!F36+'Calculs financiers'!F62</f>
        <v>0</v>
      </c>
      <c r="F34" s="90">
        <f>'Calculs financiers'!F19+'Calculs financiers'!F37+'Calculs financiers'!F63</f>
        <v>0</v>
      </c>
      <c r="G34" s="90">
        <f>'Calculs financiers'!F20+'Calculs financiers'!F38+'Calculs financiers'!F64</f>
        <v>0</v>
      </c>
      <c r="H34" s="90">
        <f>'Calculs financiers'!F21+'Calculs financiers'!F39+'Calculs financiers'!F65</f>
        <v>0</v>
      </c>
      <c r="I34" s="90">
        <f>'Calculs financiers'!F22+'Calculs financiers'!F40+'Calculs financiers'!F66</f>
        <v>0</v>
      </c>
    </row>
    <row r="35" spans="1:9" ht="15.6" x14ac:dyDescent="0.3">
      <c r="A35" s="73" t="s">
        <v>321</v>
      </c>
      <c r="B35" s="76" t="s">
        <v>352</v>
      </c>
      <c r="C35" s="90"/>
      <c r="D35" s="90"/>
      <c r="E35" s="90"/>
      <c r="F35" s="90"/>
      <c r="G35" s="90"/>
      <c r="H35" s="90"/>
      <c r="I35" s="90"/>
    </row>
    <row r="36" spans="1:9" ht="32.4" x14ac:dyDescent="0.35">
      <c r="A36" s="73" t="s">
        <v>324</v>
      </c>
      <c r="B36" s="78" t="s">
        <v>353</v>
      </c>
      <c r="C36" s="84">
        <f>C30-C31-C32+C33-C34+C35</f>
        <v>1000000</v>
      </c>
      <c r="D36" s="84">
        <f t="shared" ref="D36:I36" si="4">D30-D31-D32+D33-D34+D35</f>
        <v>0</v>
      </c>
      <c r="E36" s="84">
        <f t="shared" si="4"/>
        <v>0</v>
      </c>
      <c r="F36" s="84">
        <f t="shared" si="4"/>
        <v>0</v>
      </c>
      <c r="G36" s="84">
        <f t="shared" si="4"/>
        <v>0</v>
      </c>
      <c r="H36" s="84">
        <f t="shared" si="4"/>
        <v>0</v>
      </c>
      <c r="I36" s="84">
        <f t="shared" si="4"/>
        <v>0</v>
      </c>
    </row>
    <row r="37" spans="1:9" ht="15.6" x14ac:dyDescent="0.3">
      <c r="A37" s="183" t="s">
        <v>354</v>
      </c>
      <c r="B37" s="184"/>
      <c r="C37" s="79">
        <f>C22+C28+C36</f>
        <v>-22493973.75</v>
      </c>
      <c r="D37" s="79">
        <f t="shared" ref="D37:I37" si="5">D22+D28+D36</f>
        <v>4001146.2065000008</v>
      </c>
      <c r="E37" s="79">
        <f t="shared" si="5"/>
        <v>11318643.619175438</v>
      </c>
      <c r="F37" s="79">
        <f t="shared" si="5"/>
        <v>3109971.2920220713</v>
      </c>
      <c r="G37" s="79">
        <f t="shared" si="5"/>
        <v>-898294.25491999974</v>
      </c>
      <c r="H37" s="79" t="e">
        <f t="shared" si="5"/>
        <v>#REF!</v>
      </c>
      <c r="I37" s="79" t="e">
        <f t="shared" si="5"/>
        <v>#REF!</v>
      </c>
    </row>
    <row r="38" spans="1:9" ht="15.6" x14ac:dyDescent="0.3">
      <c r="A38" s="73" t="s">
        <v>321</v>
      </c>
      <c r="B38" s="76" t="s">
        <v>355</v>
      </c>
      <c r="C38" s="88">
        <f>+'Cout et schema de financement'!C11</f>
        <v>36890000.600000001</v>
      </c>
      <c r="D38" s="88">
        <f>C39</f>
        <v>14396026.850000001</v>
      </c>
      <c r="E38" s="88">
        <f>D39</f>
        <v>18397173.056500003</v>
      </c>
      <c r="F38" s="88">
        <f>E39</f>
        <v>29715816.675675441</v>
      </c>
      <c r="G38" s="88">
        <f>F39</f>
        <v>32825787.967697512</v>
      </c>
      <c r="H38" s="88">
        <f t="shared" ref="H38:I38" si="6">G39</f>
        <v>31927493.712777514</v>
      </c>
      <c r="I38" s="88" t="e">
        <f t="shared" si="6"/>
        <v>#REF!</v>
      </c>
    </row>
    <row r="39" spans="1:9" ht="15.6" x14ac:dyDescent="0.3">
      <c r="A39" s="80" t="s">
        <v>324</v>
      </c>
      <c r="B39" s="85" t="s">
        <v>356</v>
      </c>
      <c r="C39" s="86">
        <f>C37+C38</f>
        <v>14396026.850000001</v>
      </c>
      <c r="D39" s="86">
        <f>D37+D38</f>
        <v>18397173.056500003</v>
      </c>
      <c r="E39" s="86">
        <f>E37+E38</f>
        <v>29715816.675675441</v>
      </c>
      <c r="F39" s="86">
        <f>F37+F38</f>
        <v>32825787.967697512</v>
      </c>
      <c r="G39" s="86">
        <f>G37+G38</f>
        <v>31927493.712777514</v>
      </c>
      <c r="H39" s="86" t="e">
        <f t="shared" ref="H39:I39" si="7">H37+H38</f>
        <v>#REF!</v>
      </c>
      <c r="I39" s="86" t="e">
        <f t="shared" si="7"/>
        <v>#REF!</v>
      </c>
    </row>
  </sheetData>
  <mergeCells count="8">
    <mergeCell ref="A29:B29"/>
    <mergeCell ref="A37:B37"/>
    <mergeCell ref="A2:B2"/>
    <mergeCell ref="A1:B1"/>
    <mergeCell ref="A3:B3"/>
    <mergeCell ref="A5:B5"/>
    <mergeCell ref="A14:B14"/>
    <mergeCell ref="A23:B2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0000"/>
  </sheetPr>
  <dimension ref="A2:I44"/>
  <sheetViews>
    <sheetView tabSelected="1" topLeftCell="A37" workbookViewId="0">
      <selection activeCell="I44" sqref="I44"/>
    </sheetView>
  </sheetViews>
  <sheetFormatPr baseColWidth="10" defaultRowHeight="14.4" x14ac:dyDescent="0.3"/>
  <cols>
    <col min="1" max="1" width="11.44140625" style="16"/>
    <col min="2" max="2" width="15.21875" bestFit="1" customWidth="1"/>
    <col min="8" max="8" width="17" customWidth="1"/>
    <col min="9" max="9" width="14.33203125" bestFit="1" customWidth="1"/>
  </cols>
  <sheetData>
    <row r="2" spans="1:9" x14ac:dyDescent="0.3">
      <c r="A2" s="152" t="s">
        <v>417</v>
      </c>
      <c r="B2" s="152"/>
      <c r="C2" s="152"/>
      <c r="D2" s="152"/>
      <c r="E2" s="152"/>
      <c r="F2" s="152"/>
      <c r="G2" s="152"/>
      <c r="H2" s="152"/>
    </row>
    <row r="3" spans="1:9" ht="57.6" x14ac:dyDescent="0.3">
      <c r="A3" s="9" t="s">
        <v>409</v>
      </c>
      <c r="B3" s="9" t="s">
        <v>420</v>
      </c>
      <c r="C3" s="9" t="s">
        <v>410</v>
      </c>
      <c r="D3" s="9" t="s">
        <v>411</v>
      </c>
      <c r="E3" s="9" t="s">
        <v>412</v>
      </c>
      <c r="F3" s="9" t="s">
        <v>413</v>
      </c>
      <c r="G3" s="9" t="s">
        <v>414</v>
      </c>
      <c r="H3" s="129" t="s">
        <v>415</v>
      </c>
    </row>
    <row r="4" spans="1:9" x14ac:dyDescent="0.3">
      <c r="A4" s="9">
        <v>0.1</v>
      </c>
      <c r="B4" s="1">
        <f>'Cout et schema de financement'!C11</f>
        <v>36890000.600000001</v>
      </c>
      <c r="C4" s="1">
        <f>'Compte d''exploitation prév'!C19</f>
        <v>-9187473.75</v>
      </c>
      <c r="D4" s="1">
        <f>'Compte d''exploitation prév'!D19</f>
        <v>1393458.7065000008</v>
      </c>
      <c r="E4" s="1">
        <f>'Compte d''exploitation prév'!E19</f>
        <v>10140730.438030489</v>
      </c>
      <c r="F4" s="1"/>
      <c r="G4" s="1"/>
      <c r="H4" s="134">
        <f>NPV(A4,-B4,C4:G4)</f>
        <v>-33156136.20717131</v>
      </c>
    </row>
    <row r="7" spans="1:9" ht="15" customHeight="1" x14ac:dyDescent="0.3">
      <c r="A7" s="152" t="s">
        <v>416</v>
      </c>
      <c r="B7" s="152"/>
      <c r="C7" s="152"/>
      <c r="D7" s="152"/>
      <c r="E7" s="152"/>
      <c r="F7" s="152"/>
      <c r="G7" s="152"/>
      <c r="H7" s="16"/>
    </row>
    <row r="8" spans="1:9" ht="57.6" x14ac:dyDescent="0.3">
      <c r="A8" s="129" t="s">
        <v>418</v>
      </c>
      <c r="B8" s="9" t="s">
        <v>419</v>
      </c>
      <c r="C8" s="9" t="s">
        <v>410</v>
      </c>
      <c r="D8" s="9" t="s">
        <v>411</v>
      </c>
      <c r="E8" s="9" t="s">
        <v>412</v>
      </c>
      <c r="F8" s="9" t="s">
        <v>413</v>
      </c>
      <c r="G8" s="9" t="s">
        <v>414</v>
      </c>
      <c r="H8" s="16"/>
    </row>
    <row r="9" spans="1:9" x14ac:dyDescent="0.3">
      <c r="A9" s="130" t="e">
        <f>IRR(B9:G9)</f>
        <v>#NUM!</v>
      </c>
      <c r="B9" s="1">
        <f>-B4</f>
        <v>-36890000.600000001</v>
      </c>
      <c r="C9" s="1">
        <f>'Compte d''exploitation prév'!C19</f>
        <v>-9187473.75</v>
      </c>
      <c r="D9" s="1">
        <f>'Compte d''exploitation prév'!D19</f>
        <v>1393458.7065000008</v>
      </c>
      <c r="E9" s="1">
        <f>'Compte d''exploitation prév'!E19</f>
        <v>10140730.438030489</v>
      </c>
      <c r="F9" s="1">
        <f>'Compte d''exploitation prév'!F19</f>
        <v>-3090854.2567000003</v>
      </c>
      <c r="G9" s="1">
        <f>'Compte d''exploitation prév'!G19</f>
        <v>-4348294.2549200002</v>
      </c>
    </row>
    <row r="10" spans="1:9" x14ac:dyDescent="0.3">
      <c r="I10" s="124"/>
    </row>
    <row r="13" spans="1:9" x14ac:dyDescent="0.3">
      <c r="A13" s="152" t="s">
        <v>421</v>
      </c>
      <c r="B13" s="152"/>
      <c r="C13" s="152"/>
      <c r="D13" s="152"/>
      <c r="E13" s="152"/>
      <c r="F13" s="152"/>
      <c r="G13" s="152"/>
    </row>
    <row r="14" spans="1:9" x14ac:dyDescent="0.3">
      <c r="A14" s="9" t="s">
        <v>422</v>
      </c>
      <c r="B14" s="1">
        <v>0</v>
      </c>
      <c r="C14" s="1">
        <v>1</v>
      </c>
      <c r="D14" s="1">
        <v>2</v>
      </c>
      <c r="E14" s="1">
        <v>3</v>
      </c>
      <c r="F14" s="1">
        <v>4</v>
      </c>
      <c r="G14" s="1">
        <v>5</v>
      </c>
    </row>
    <row r="15" spans="1:9" ht="28.8" x14ac:dyDescent="0.3">
      <c r="A15" s="9" t="s">
        <v>423</v>
      </c>
      <c r="B15" s="1">
        <v>-5000</v>
      </c>
      <c r="C15" s="1">
        <v>2000</v>
      </c>
      <c r="D15" s="1">
        <v>1000</v>
      </c>
      <c r="E15" s="1">
        <v>1000</v>
      </c>
      <c r="F15" s="1"/>
      <c r="G15" s="1"/>
    </row>
    <row r="16" spans="1:9" ht="43.2" x14ac:dyDescent="0.3">
      <c r="A16" s="9" t="s">
        <v>424</v>
      </c>
      <c r="B16" s="1">
        <f>B15</f>
        <v>-5000</v>
      </c>
      <c r="C16" s="1">
        <f>B16+C15</f>
        <v>-3000</v>
      </c>
      <c r="D16" s="1">
        <f t="shared" ref="D16:G16" si="0">C16+D15</f>
        <v>-2000</v>
      </c>
      <c r="E16" s="1">
        <v>1000</v>
      </c>
      <c r="F16" s="1">
        <f t="shared" si="0"/>
        <v>1000</v>
      </c>
      <c r="G16" s="1">
        <f t="shared" si="0"/>
        <v>1000</v>
      </c>
    </row>
    <row r="18" spans="1:7" ht="28.8" x14ac:dyDescent="0.3">
      <c r="A18" s="129" t="s">
        <v>425</v>
      </c>
      <c r="B18" s="131">
        <f>MATCH(0,B16:G16,1)</f>
        <v>3</v>
      </c>
    </row>
    <row r="21" spans="1:7" ht="43.2" x14ac:dyDescent="0.3">
      <c r="A21" s="129" t="s">
        <v>426</v>
      </c>
      <c r="B21" s="131">
        <f>H4/B4</f>
        <v>-0.89878383485771229</v>
      </c>
    </row>
    <row r="22" spans="1:7" x14ac:dyDescent="0.3">
      <c r="A22" s="91"/>
      <c r="B22" s="4"/>
    </row>
    <row r="23" spans="1:7" x14ac:dyDescent="0.3">
      <c r="A23" s="152" t="s">
        <v>431</v>
      </c>
      <c r="B23" s="152"/>
      <c r="C23" s="152"/>
      <c r="D23" s="152"/>
      <c r="E23" s="152"/>
      <c r="F23" s="152"/>
      <c r="G23" s="152"/>
    </row>
    <row r="24" spans="1:7" x14ac:dyDescent="0.3">
      <c r="A24" s="5" t="s">
        <v>422</v>
      </c>
      <c r="B24" s="5">
        <v>0</v>
      </c>
      <c r="C24" s="5">
        <v>1</v>
      </c>
      <c r="D24" s="5">
        <v>2</v>
      </c>
      <c r="E24" s="5">
        <v>3</v>
      </c>
      <c r="F24" s="5">
        <v>4</v>
      </c>
      <c r="G24" s="5">
        <v>5</v>
      </c>
    </row>
    <row r="25" spans="1:7" ht="43.2" x14ac:dyDescent="0.3">
      <c r="A25" s="9" t="s">
        <v>428</v>
      </c>
      <c r="B25" s="1">
        <v>100</v>
      </c>
      <c r="C25" s="1">
        <v>100</v>
      </c>
      <c r="D25" s="1">
        <v>100</v>
      </c>
      <c r="E25" s="1">
        <v>100</v>
      </c>
      <c r="F25" s="1">
        <v>100</v>
      </c>
      <c r="G25" s="1">
        <v>100</v>
      </c>
    </row>
    <row r="26" spans="1:7" ht="28.8" x14ac:dyDescent="0.3">
      <c r="A26" s="9" t="s">
        <v>433</v>
      </c>
      <c r="B26" s="18">
        <v>10000</v>
      </c>
      <c r="C26" s="1">
        <f>'Bilan prévisionnel'!C25/Ratios!C25</f>
        <v>-81874.737500000003</v>
      </c>
      <c r="D26" s="1">
        <f>'Bilan prévisionnel'!D25/Ratios!D25</f>
        <v>-67940.150434999989</v>
      </c>
      <c r="E26" s="1">
        <f>'Bilan prévisionnel'!E25/Ratios!E25</f>
        <v>33467.153945304897</v>
      </c>
      <c r="F26" s="1">
        <f>'Bilan prévisionnel'!F25/Ratios!F25</f>
        <v>2558.6113783048977</v>
      </c>
      <c r="G26" s="1">
        <f>'Bilan prévisionnel'!G25/Ratios!G25</f>
        <v>-40924.331170895108</v>
      </c>
    </row>
    <row r="27" spans="1:7" ht="57.6" x14ac:dyDescent="0.3">
      <c r="A27" s="9" t="s">
        <v>434</v>
      </c>
      <c r="B27" s="18"/>
      <c r="C27" s="24">
        <f>((C26-B26)/B26)</f>
        <v>-9.1874737500000005</v>
      </c>
      <c r="D27" s="24">
        <f t="shared" ref="D27:G27" si="1">((D26-C26)/C26)</f>
        <v>-0.17019397546160089</v>
      </c>
      <c r="E27" s="24">
        <f t="shared" si="1"/>
        <v>-1.4925975837707885</v>
      </c>
      <c r="F27" s="24">
        <f t="shared" si="1"/>
        <v>-0.92354858191747002</v>
      </c>
      <c r="G27" s="24">
        <f t="shared" si="1"/>
        <v>-16.994742897613406</v>
      </c>
    </row>
    <row r="28" spans="1:7" ht="28.8" x14ac:dyDescent="0.3">
      <c r="A28" s="9" t="s">
        <v>429</v>
      </c>
      <c r="B28" s="18">
        <f>B25*B26</f>
        <v>1000000</v>
      </c>
      <c r="C28" s="1"/>
      <c r="D28" s="1"/>
      <c r="E28" s="1"/>
      <c r="F28" s="1"/>
      <c r="G28" s="1"/>
    </row>
    <row r="29" spans="1:7" ht="115.2" x14ac:dyDescent="0.3">
      <c r="A29" s="12" t="s">
        <v>427</v>
      </c>
      <c r="B29" s="10"/>
      <c r="C29" s="10">
        <f t="shared" ref="C29:G29" si="2">30/100</f>
        <v>0.3</v>
      </c>
      <c r="D29" s="10">
        <f t="shared" si="2"/>
        <v>0.3</v>
      </c>
      <c r="E29" s="10">
        <f t="shared" si="2"/>
        <v>0.3</v>
      </c>
      <c r="F29" s="10">
        <f t="shared" si="2"/>
        <v>0.3</v>
      </c>
      <c r="G29" s="10">
        <f t="shared" si="2"/>
        <v>0.3</v>
      </c>
    </row>
    <row r="30" spans="1:7" ht="28.8" x14ac:dyDescent="0.3">
      <c r="A30" s="13" t="s">
        <v>430</v>
      </c>
      <c r="B30" s="11"/>
      <c r="C30" s="11">
        <f>'Compte d''exploitation prév'!C19*Ratios!C29</f>
        <v>-2756242.125</v>
      </c>
      <c r="D30" s="11">
        <f>'Compte d''exploitation prév'!D19*Ratios!D29</f>
        <v>418037.61195000022</v>
      </c>
      <c r="E30" s="11">
        <f>'Compte d''exploitation prév'!E19*Ratios!E29</f>
        <v>3042219.1314091464</v>
      </c>
      <c r="F30" s="11">
        <f>'Compte d''exploitation prév'!F19*Ratios!F29</f>
        <v>-927256.27701000008</v>
      </c>
      <c r="G30" s="11">
        <f>'Compte d''exploitation prév'!G19*Ratios!G29</f>
        <v>-1304488.276476</v>
      </c>
    </row>
    <row r="31" spans="1:7" ht="43.2" x14ac:dyDescent="0.3">
      <c r="A31" s="13" t="s">
        <v>432</v>
      </c>
      <c r="B31" s="11"/>
      <c r="C31" s="11">
        <f>C30/C25</f>
        <v>-27562.421249999999</v>
      </c>
      <c r="D31" s="11">
        <f t="shared" ref="D31:G31" si="3">D30/D25</f>
        <v>4180.3761195000025</v>
      </c>
      <c r="E31" s="11">
        <f t="shared" si="3"/>
        <v>30422.191314091462</v>
      </c>
      <c r="F31" s="11">
        <f t="shared" si="3"/>
        <v>-9272.5627701000012</v>
      </c>
      <c r="G31" s="11">
        <f t="shared" si="3"/>
        <v>-13044.882764759999</v>
      </c>
    </row>
    <row r="34" spans="1:9" x14ac:dyDescent="0.3">
      <c r="A34" s="152" t="s">
        <v>435</v>
      </c>
      <c r="B34" s="152"/>
      <c r="C34" s="152"/>
      <c r="D34" s="152"/>
      <c r="E34" s="152"/>
      <c r="F34" s="152"/>
      <c r="G34" s="152"/>
    </row>
    <row r="36" spans="1:9" ht="43.2" x14ac:dyDescent="0.3">
      <c r="A36" s="9" t="s">
        <v>409</v>
      </c>
      <c r="B36" s="1"/>
      <c r="C36" s="1">
        <f>(1+0.1)^-1</f>
        <v>0.90909090909090906</v>
      </c>
      <c r="D36" s="1">
        <f>(1+0.1)^-2</f>
        <v>0.82644628099173545</v>
      </c>
      <c r="E36" s="1">
        <f>(1+0.1)^-3</f>
        <v>0.75131480090157754</v>
      </c>
      <c r="F36" s="1">
        <f>(1+0.1)^-4</f>
        <v>0.68301345536507052</v>
      </c>
      <c r="G36" s="1">
        <f>(1+0.1)^-5</f>
        <v>0.62092132305915493</v>
      </c>
    </row>
    <row r="37" spans="1:9" ht="28.8" x14ac:dyDescent="0.3">
      <c r="A37" s="9" t="s">
        <v>444</v>
      </c>
      <c r="B37" s="1"/>
      <c r="C37" s="123">
        <f>'Tableau des flux de trésorerie'!C39</f>
        <v>14396026.850000001</v>
      </c>
      <c r="D37" s="123">
        <f>'Tableau des flux de trésorerie'!D39</f>
        <v>18397173.056500003</v>
      </c>
      <c r="E37" s="123">
        <f>'Tableau des flux de trésorerie'!E39</f>
        <v>29715816.675675441</v>
      </c>
      <c r="F37" s="123">
        <f>'Tableau des flux de trésorerie'!F39</f>
        <v>32825787.967697512</v>
      </c>
      <c r="G37" s="123">
        <f>'Tableau des flux de trésorerie'!G39</f>
        <v>31927493.712777514</v>
      </c>
    </row>
    <row r="38" spans="1:9" ht="43.2" x14ac:dyDescent="0.3">
      <c r="A38" s="9" t="s">
        <v>438</v>
      </c>
      <c r="B38" s="1"/>
      <c r="C38" s="123">
        <f t="shared" ref="C38:G38" si="4">C37*C36</f>
        <v>13087297.136363637</v>
      </c>
      <c r="D38" s="123">
        <f t="shared" si="4"/>
        <v>15204275.253305785</v>
      </c>
      <c r="E38" s="123">
        <f t="shared" si="4"/>
        <v>22325932.889312871</v>
      </c>
      <c r="F38" s="123">
        <f t="shared" si="4"/>
        <v>22420454.864898235</v>
      </c>
      <c r="G38" s="123">
        <f t="shared" si="4"/>
        <v>19824461.638100665</v>
      </c>
    </row>
    <row r="39" spans="1:9" ht="57.6" x14ac:dyDescent="0.3">
      <c r="A39" s="12" t="s">
        <v>439</v>
      </c>
      <c r="B39" s="195">
        <f>SUM(C38:G38)</f>
        <v>92862421.7819812</v>
      </c>
      <c r="C39" s="196"/>
      <c r="D39" s="196"/>
      <c r="E39" s="196"/>
      <c r="F39" s="196"/>
      <c r="G39" s="196"/>
    </row>
    <row r="40" spans="1:9" ht="43.2" x14ac:dyDescent="0.3">
      <c r="A40" s="9" t="s">
        <v>445</v>
      </c>
      <c r="B40" s="197">
        <f>'Compte d''exploitation prév'!G11+'Bilan prévisionnel'!M7-'Cout et schema de financement'!C7</f>
        <v>-20941483.22106</v>
      </c>
      <c r="C40" s="198"/>
      <c r="D40" s="198"/>
      <c r="E40" s="198"/>
      <c r="F40" s="198"/>
      <c r="G40" s="198"/>
    </row>
    <row r="41" spans="1:9" ht="43.2" x14ac:dyDescent="0.3">
      <c r="A41" s="9" t="s">
        <v>436</v>
      </c>
      <c r="B41" s="1" t="e">
        <f>(($A$9)*(('Bilan prévisionnel'!C25)/('Bilan prévisionnel'!C25+'Bilan prévisionnel'!C20)))+(('Calculs financiers'!G13)*(1-'Impots et taxes'!$B$25)*(('Bilan prévisionnel'!C20)/('Bilan prévisionnel'!C25+'Bilan prévisionnel'!C20)))</f>
        <v>#NUM!</v>
      </c>
      <c r="C41" s="1">
        <f>(B9*('Bilan prévisionnel'!D25/('Bilan prévisionnel'!D25+'Bilan prévisionnel'!D20)+('Calculs financiers'!$C$31:$F$31)*1-'Impots et taxes'!$B$25)*('Bilan prévisionnel'!D20/('Bilan prévisionnel'!D25+'Bilan prévisionnel'!D20)))</f>
        <v>29567519795.914333</v>
      </c>
      <c r="D41" s="1">
        <f>(C9*('Bilan prévisionnel'!E25/('Bilan prévisionnel'!E25+'Bilan prévisionnel'!E20)+('Calculs financiers'!$C$31:$F$31)*1-'Impots et taxes'!$B$25)*('Bilan prévisionnel'!E20/('Bilan prévisionnel'!E25+'Bilan prévisionnel'!E20)))</f>
        <v>465938.94474228483</v>
      </c>
      <c r="E41" s="1">
        <f>(D9*('Bilan prévisionnel'!F25/('Bilan prévisionnel'!F25+'Bilan prévisionnel'!F20)+('Calculs financiers'!$C$31:$F$31)*1-'Impots et taxes'!$B$25)*('Bilan prévisionnel'!F20/('Bilan prévisionnel'!F25+'Bilan prévisionnel'!F20)))</f>
        <v>162643.93632507639</v>
      </c>
      <c r="F41" s="1">
        <f>(E9*('Bilan prévisionnel'!G25/('Bilan prévisionnel'!G25+'Bilan prévisionnel'!G20)+('Calculs financiers'!$C$31:$F$31)*1-'Impots et taxes'!$B$25)*('Bilan prévisionnel'!G20/('Bilan prévisionnel'!G25+'Bilan prévisionnel'!G20)))</f>
        <v>-566837.25190128968</v>
      </c>
      <c r="G41" s="1"/>
    </row>
    <row r="42" spans="1:9" ht="43.2" x14ac:dyDescent="0.3">
      <c r="A42" s="9" t="s">
        <v>437</v>
      </c>
      <c r="B42" s="104">
        <v>0.02</v>
      </c>
      <c r="C42" s="104">
        <v>0.02</v>
      </c>
      <c r="D42" s="104">
        <v>0.02</v>
      </c>
      <c r="E42" s="104">
        <v>0.02</v>
      </c>
      <c r="F42" s="104">
        <v>0.02</v>
      </c>
      <c r="G42" s="104"/>
    </row>
    <row r="43" spans="1:9" ht="72" x14ac:dyDescent="0.3">
      <c r="A43" s="12" t="s">
        <v>456</v>
      </c>
      <c r="B43" s="191" t="e">
        <f>(B40)/(B41-B42)</f>
        <v>#NUM!</v>
      </c>
      <c r="C43" s="192"/>
      <c r="D43" s="192"/>
      <c r="E43" s="192"/>
      <c r="F43" s="192"/>
      <c r="G43" s="192"/>
    </row>
    <row r="44" spans="1:9" ht="28.8" x14ac:dyDescent="0.3">
      <c r="A44" s="129" t="s">
        <v>455</v>
      </c>
      <c r="B44" s="193" t="e">
        <f>B39+B43</f>
        <v>#NUM!</v>
      </c>
      <c r="C44" s="194"/>
      <c r="D44" s="194"/>
      <c r="E44" s="194"/>
      <c r="F44" s="194"/>
      <c r="G44" s="194"/>
      <c r="I44" s="143" t="e">
        <f>'Cout et schema de financement'!C13/Ratios!B44</f>
        <v>#NUM!</v>
      </c>
    </row>
  </sheetData>
  <mergeCells count="9">
    <mergeCell ref="B43:G43"/>
    <mergeCell ref="B44:G44"/>
    <mergeCell ref="B39:G39"/>
    <mergeCell ref="B40:G40"/>
    <mergeCell ref="A2:H2"/>
    <mergeCell ref="A7:G7"/>
    <mergeCell ref="A13:G13"/>
    <mergeCell ref="A23:G23"/>
    <mergeCell ref="A34:G3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20</vt:i4>
      </vt:variant>
    </vt:vector>
  </HeadingPairs>
  <TitlesOfParts>
    <vt:vector size="20" baseType="lpstr">
      <vt:lpstr>Prix des produits et services </vt:lpstr>
      <vt:lpstr>Calcul intermédiaire </vt:lpstr>
      <vt:lpstr>Objectifs de ventes (quantité)</vt:lpstr>
      <vt:lpstr>Chiffre d'affaires prévisionnel</vt:lpstr>
      <vt:lpstr>Impots et taxes</vt:lpstr>
      <vt:lpstr>Calcul intermédiaires Charges V</vt:lpstr>
      <vt:lpstr>Charges variables</vt:lpstr>
      <vt:lpstr>Calcul intermédiaires CF</vt:lpstr>
      <vt:lpstr>Charges fixes</vt:lpstr>
      <vt:lpstr>Calcul intermédiaires Investiss</vt:lpstr>
      <vt:lpstr>Liste des investissements</vt:lpstr>
      <vt:lpstr>tableau des amortissements</vt:lpstr>
      <vt:lpstr>Fonds de roulement</vt:lpstr>
      <vt:lpstr>Cout et schema de financement</vt:lpstr>
      <vt:lpstr>Calculs financiers</vt:lpstr>
      <vt:lpstr>Compte d'exploitation prév</vt:lpstr>
      <vt:lpstr>Bilan prévisionnel</vt:lpstr>
      <vt:lpstr>Seuil rentabilité &amp; point Mort</vt:lpstr>
      <vt:lpstr>Tableau des flux de trésorerie</vt:lpstr>
      <vt:lpstr>Ratios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OBAC CAPITAL BOUITI VIAUDO</cp:lastModifiedBy>
  <dcterms:created xsi:type="dcterms:W3CDTF">2022-04-18T11:44:26Z</dcterms:created>
  <dcterms:modified xsi:type="dcterms:W3CDTF">2024-05-29T11:39:12Z</dcterms:modified>
</cp:coreProperties>
</file>